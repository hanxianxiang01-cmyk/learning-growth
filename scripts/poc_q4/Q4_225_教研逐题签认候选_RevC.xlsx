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c3182ca86f4b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审查总览" sheetId="1" r:id="R43bc024713984b3a"/>
    <x:sheet xmlns:r="http://schemas.openxmlformats.org/officeDocument/2006/relationships" name="重点73题教研建议" sheetId="2" r:id="Rb85e95de8d6b4bc0"/>
    <x:sheet xmlns:r="http://schemas.openxmlformats.org/officeDocument/2006/relationships" name="四级Hint原文" sheetId="3" r:id="R4d941e4bf32741a0"/>
    <x:sheet xmlns:r="http://schemas.openxmlformats.org/officeDocument/2006/relationships" name="现行225题签认台账" sheetId="4" r:id="R3f9a1cd33ad1461f"/>
    <x:sheet xmlns:r="http://schemas.openxmlformats.org/officeDocument/2006/relationships" name="版本迁移14项" sheetId="5" r:id="R49776f6adc414102"/>
    <x:sheet xmlns:r="http://schemas.openxmlformats.org/officeDocument/2006/relationships" name="签认规则与界限" sheetId="6" r:id="Re22d390aa2c146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4748B"/>
      <x:name val="Carlito"/>
    </x:font>
    <x:font>
      <x:b/>
      <x:sz val="11"/>
      <x:color rgb="FF123D46"/>
      <x:name val="Carlito"/>
    </x:font>
    <x:font>
      <x:b/>
      <x:sz val="12"/>
      <x:color rgb="FF186B63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D46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>
          <x:bgColor rgb="FFFFF1DC"/>
        </x:patternFill>
      </x:fill>
    </x:dxf>
    <x:dxf>
      <x:fill>
        <x:patternFill>
          <x:bgColor rgb="FFEAF3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e61f2c8c3d421a" /><Relationship Type="http://schemas.openxmlformats.org/officeDocument/2006/relationships/theme" Target="/xl/theme/theme1.xml" Id="R994367192e5e4236" /><Relationship Type="http://schemas.openxmlformats.org/officeDocument/2006/relationships/sharedStrings" Target="/xl/sharedStrings.xml" Id="Rdd1232a11cbb4ec0" /><Relationship Type="http://schemas.openxmlformats.org/officeDocument/2006/relationships/worksheet" Target="/xl/worksheets/sheet1.xml" Id="R43bc024713984b3a" /><Relationship Type="http://schemas.openxmlformats.org/officeDocument/2006/relationships/worksheet" Target="/xl/worksheets/sheet2.xml" Id="Rb85e95de8d6b4bc0" /><Relationship Type="http://schemas.openxmlformats.org/officeDocument/2006/relationships/worksheet" Target="/xl/worksheets/sheet3.xml" Id="R4d941e4bf32741a0" /><Relationship Type="http://schemas.openxmlformats.org/officeDocument/2006/relationships/worksheet" Target="/xl/worksheets/sheet4.xml" Id="R3f9a1cd33ad1461f" /><Relationship Type="http://schemas.openxmlformats.org/officeDocument/2006/relationships/worksheet" Target="/xl/worksheets/sheet5.xml" Id="R49776f6adc414102" /><Relationship Type="http://schemas.openxmlformats.org/officeDocument/2006/relationships/worksheet" Target="/xl/worksheets/sheet6.xml" Id="Re22d390aa2c14616" /></Relationships>
</file>

<file path=xl/tables/table1.xml><?xml version="1.0" encoding="utf-8"?>
<x:table xmlns:x="http://schemas.openxmlformats.org/spreadsheetml/2006/main" id="1" name="Q4Focus73" displayName="Q4Focus73" ref="A1:W74" headerRowCount="1" totalsRowCount="0" totalsRowShown="0">
  <x:tableColumns count="23">
    <x:tableColumn id="1" name="序号"/>
    <x:tableColumn id="2" name="来源"/>
    <x:tableColumn id="3" name="能力"/>
    <x:tableColumn id="4" name="题目号"/>
    <x:tableColumn id="5" name="当前RVID"/>
    <x:tableColumn id="6" name="原RVID"/>
    <x:tableColumn id="7" name="契约/组件"/>
    <x:tableColumn id="8" name="难度"/>
    <x:tableColumn id="9" name="题面"/>
    <x:tableColumn id="10" name="学习目标"/>
    <x:tableColumn id="11" name="库答案"/>
    <x:tableColumn id="12" name="独立答案依据"/>
    <x:tableColumn id="13" name="AI建议结论"/>
    <x:tableColumn id="14" name="教学问题说明"/>
    <x:tableColumn id="15" name="四级Hint审查"/>
    <x:tableColumn id="16" name="建议修订方案"/>
    <x:tableColumn id="17" name="正式签认需补证据"/>
    <x:tableColumn id="18" name="风险主题"/>
    <x:tableColumn id="19" name="最新版本说明"/>
    <x:tableColumn id="20" name="教研正式状态"/>
    <x:tableColumn id="21" name="教研评审人"/>
    <x:tableColumn id="22" name="签认日期"/>
    <x:tableColumn id="23" name="教研意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4Hint73" displayName="Q4Hint73" ref="A1:J74" headerRowCount="1" totalsRowCount="0" totalsRowShown="0">
  <x:tableColumns count="10">
    <x:tableColumn id="1" name="序号"/>
    <x:tableColumn id="2" name="题号"/>
    <x:tableColumn id="3" name="当前RVID"/>
    <x:tableColumn id="4" name="能力"/>
    <x:tableColumn id="5" name="Hint 1"/>
    <x:tableColumn id="6" name="Hint 2"/>
    <x:tableColumn id="7" name="Hint 3"/>
    <x:tableColumn id="8" name="Hint 4"/>
    <x:tableColumn id="9" name="AI提示风险评价"/>
    <x:tableColumn id="10" name="教研审查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4Master225" displayName="Q4Master225" ref="A1:O226" headerRowCount="1" totalsRowCount="0" totalsRowShown="0">
  <x:tableColumns count="15">
    <x:tableColumn id="1" name="序号"/>
    <x:tableColumn id="2" name="标题"/>
    <x:tableColumn id="3" name="当前RVID"/>
    <x:tableColumn id="4" name="能力"/>
    <x:tableColumn id="5" name="Schema"/>
    <x:tableColumn id="6" name="Renderer"/>
    <x:tableColumn id="7" name="难度"/>
    <x:tableColumn id="8" name="标准答案"/>
    <x:tableColumn id="9" name="本轮覆盖"/>
    <x:tableColumn id="10" name="AI教学建议"/>
    <x:tableColumn id="11" name="版本血缘"/>
    <x:tableColumn id="12" name="教研正式结论"/>
    <x:tableColumn id="13" name="评审人"/>
    <x:tableColumn id="14" name="日期"/>
    <x:tableColumn id="15" name="签认意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4Migration14" displayName="Q4Migration14" ref="A1:F15" headerRowCount="1" totalsRowCount="0" totalsRowShown="0">
  <x:tableColumns count="6">
    <x:tableColumn id="1" name="old_rvid"/>
    <x:tableColumn id="2" name="new_rvid"/>
    <x:tableColumn id="3" name="fix_type"/>
    <x:tableColumn id="4" name="change"/>
    <x:tableColumn id="5" name="note"/>
    <x:tableColumn id="6" name="当前Published存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Q4Rules" displayName="Q4Rules" ref="A1:C14" headerRowCount="1" totalsRowCount="0" totalsRowShown="0">
  <x:tableColumns count="3">
    <x:tableColumn id="1" name="规则"/>
    <x:tableColumn id="2" name="操作要求"/>
    <x:tableColumn id="3" name="是否可自动签认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88872f6ee548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f4d214efd44d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3cc91c7a824a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660b6267044b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06884b366b74360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5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7" customHeight="1">
      <x:c r="A1" s="4" t="str">
        <x:v>Q4｜现行225题 教研逐题签认候选 Rev.C</x:v>
      </x:c>
      <x:c r="B1" s="4"/>
      <x:c r="C1" s="4"/>
      <x:c r="D1" s="4"/>
      <x:c r="E1" s="4"/>
      <x:c r="F1" s="4"/>
    </x:row>
    <x:row r="2" ht="29" customHeight="1">
      <x:c r="A2" s="8" t="str">
        <x:v>教育内容AI预审意见，不等同教研签认。以现行225个Published资源版本为准；教研审批目前0/225。</x:v>
      </x:c>
      <x:c r="B2" s="8"/>
      <x:c r="C2" s="8"/>
      <x:c r="D2" s="8"/>
      <x:c r="E2" s="8"/>
      <x:c r="F2" s="8"/>
    </x:row>
    <x:row r="4" ht="30" customHeight="1">
      <x:c r="A4" s="10" t="str">
        <x:v>现行Published资源</x:v>
      </x:c>
      <x:c r="B4" s="12" t="n">
        <x:f>COUNTA('现行225题签认台账'!C2:C226)</x:f>
        <x:v>225</x:v>
      </x:c>
      <x:c r="D4" s="17" t="str">
        <x:v>核查边界与优先级</x:v>
      </x:c>
      <x:c r="E4" s="17"/>
      <x:c r="F4" s="17"/>
    </x:row>
    <x:row r="5" ht="34" customHeight="1">
      <x:c r="A5" s="10" t="str">
        <x:v>69道历史重点题已映射</x:v>
      </x:c>
      <x:c r="B5" s="12" t="n">
        <x:f>COUNTIF('重点73题教研建议'!B2:B74,"Rev.B原69题")</x:f>
        <x:v>69</x:v>
      </x:c>
      <x:c r="D5" t="str">
        <x:v>1. AI建议结论是初审意见：APPROVED_CANDIDATE≠教研APPROVED。</x:v>
      </x:c>
    </x:row>
    <x:row r="6" ht="34" customHeight="1">
      <x:c r="A6" s="10" t="str">
        <x:v>额外版本修复补审</x:v>
      </x:c>
      <x:c r="B6" s="12" t="n">
        <x:f>COUNTIF('重点73题教研建议'!B2:B74,"14项迁移补审（不在69内）")</x:f>
        <x:v>4</x:v>
      </x:c>
      <x:c r="D6" t="str">
        <x:v>2. 已修复的9道图形卡名，仍须ACCESS-01读屏/纯键盘验证。</x:v>
      </x:c>
    </x:row>
    <x:row r="7" ht="34" customHeight="1">
      <x:c r="A7" s="10" t="str">
        <x:v>本轮逐题审查覆盖</x:v>
      </x:c>
      <x:c r="B7" s="12" t="n">
        <x:f>COUNTA('重点73题教研建议'!E2:E74)</x:f>
        <x:v>73</x:v>
      </x:c>
      <x:c r="D7" t="str">
        <x:v>3. 1ab893bf数轴起点已修为0；过程判分仍不等价。</x:v>
      </x:c>
    </x:row>
    <x:row r="8" ht="34" customHeight="1">
      <x:c r="A8" s="10" t="str">
        <x:v>其余待本轮深审</x:v>
      </x:c>
      <x:c r="B8" s="12" t="n">
        <x:f>B4-B7</x:f>
        <x:v>152</x:v>
      </x:c>
      <x:c r="D8" t="str">
        <x:v>4. FE-1455约束跳步新版本需单独教研签认。</x:v>
      </x:c>
    </x:row>
    <x:row r="9" ht="34" customHeight="1">
      <x:c r="A9" s="10" t="str">
        <x:v>AI建议APPROVED_CANDIDATE</x:v>
      </x:c>
      <x:c r="B9" s="12" t="n">
        <x:f>COUNTIF('重点73题教研建议'!M2:M74,"APPROVED_CANDIDATE")</x:f>
        <x:v>9</x:v>
      </x:c>
      <x:c r="D9" t="str">
        <x:v>5. 高等级提示可为示例解法，但不可充当独立能力证据。</x:v>
      </x:c>
    </x:row>
    <x:row r="10" ht="34" customHeight="1">
      <x:c r="A10" s="10" t="str">
        <x:v>AI建议REVISION_REQUIRED</x:v>
      </x:c>
      <x:c r="B10" s="12" t="n">
        <x:f>COUNTIF('重点73题教研建议'!M2:M74,"REVISION_REQUIRED")</x:f>
        <x:v>64</x:v>
      </x:c>
      <x:c r="D10" t="str">
        <x:v>6. 其余152题未在本轮重新作深度教学裁决。</x:v>
      </x:c>
    </x:row>
    <x:row r="11">
      <x:c r="A11" s="10" t="str">
        <x:v>AI建议REJECTED_CANDIDATE</x:v>
      </x:c>
      <x:c r="B11" s="12" t="n">
        <x:f>COUNTIF('重点73题教研建议'!M2:M74,"REJECTED_CANDIDATE")</x:f>
        <x:v>0</x:v>
      </x:c>
    </x:row>
    <x:row r="12">
      <x:c r="A12" s="10" t="str">
        <x:v>正式教研APPROVED</x:v>
      </x:c>
      <x:c r="B12" s="12" t="n">
        <x:f>COUNTIF('现行225题签认台账'!L2:L226,"APPROVED")</x:f>
        <x:v>0</x:v>
      </x:c>
    </x:row>
    <x:row r="13">
      <x:c r="A13" s="10" t="str">
        <x:v>正式教研PENDING</x:v>
      </x:c>
      <x:c r="B13" s="12" t="n">
        <x:f>COUNTIF('现行225题签认台账'!L2:L226,"PENDING")</x:f>
        <x:v>225</x:v>
      </x:c>
    </x:row>
    <x:row r="14">
      <x:c r="A14" s="10" t="str">
        <x:v>69题原RVID不变</x:v>
      </x:c>
      <x:c r="B14" s="12" t="n">
        <x:v>59</x:v>
      </x:c>
    </x:row>
    <x:row r="15">
      <x:c r="A15" s="10" t="str">
        <x:v>69题已发生版本迁移</x:v>
      </x:c>
      <x:c r="B15" s="12" t="n">
        <x:v>10</x:v>
      </x:c>
    </x:row>
  </x:sheetData>
  <x:mergeCells>
    <x:mergeCell ref="A1:F1"/>
    <x:mergeCell ref="A2:F2"/>
    <x:mergeCell ref="D4:F4"/>
    <x:mergeCell ref="D5:F5"/>
    <x:mergeCell ref="D6:F6"/>
    <x:mergeCell ref="D7:F7"/>
    <x:mergeCell ref="D8:F8"/>
    <x:mergeCell ref="D9:F9"/>
    <x:mergeCell ref="D10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6" hidden="0" customWidth="1"/>
    <x:col min="3" max="3" width="12" hidden="0" customWidth="1"/>
    <x:col min="4" max="4" width="24" hidden="0" customWidth="1"/>
    <x:col min="5" max="5" width="36" hidden="0" customWidth="1"/>
    <x:col min="6" max="6" width="36" hidden="0" customWidth="1"/>
    <x:col min="7" max="7" width="22" hidden="0" customWidth="1"/>
    <x:col min="8" max="8" width="8" hidden="0" customWidth="1"/>
    <x:col min="9" max="9" width="48" hidden="0" customWidth="1"/>
    <x:col min="10" max="10" width="43" hidden="0" customWidth="1"/>
    <x:col min="11" max="11" width="12" hidden="0" customWidth="1"/>
    <x:col min="12" max="12" width="34" hidden="0" customWidth="1"/>
    <x:col min="13" max="13" width="24" hidden="0" customWidth="1"/>
    <x:col min="14" max="14" width="45" hidden="0" customWidth="1"/>
    <x:col min="15" max="15" width="38" hidden="0" customWidth="1"/>
    <x:col min="16" max="16" width="48" hidden="0" customWidth="1"/>
    <x:col min="17" max="17" width="46" hidden="0" customWidth="1"/>
    <x:col min="18" max="18" width="29" hidden="0" customWidth="1"/>
    <x:col min="19" max="19" width="28" hidden="0" customWidth="1"/>
    <x:col min="20" max="20" width="20" hidden="0" customWidth="1"/>
    <x:col min="21" max="21" width="14" hidden="0" customWidth="1"/>
    <x:col min="22" max="22" width="14" hidden="0" customWidth="1"/>
    <x:col min="23" max="23" width="35" hidden="0" customWidth="1"/>
  </x:cols>
  <x:sheetData>
    <x:row r="1" ht="30" customHeight="1">
      <x:c r="A1" s="17" t="str">
        <x:v>序号</x:v>
      </x:c>
      <x:c r="B1" s="17" t="str">
        <x:v>来源</x:v>
      </x:c>
      <x:c r="C1" s="17" t="str">
        <x:v>能力</x:v>
      </x:c>
      <x:c r="D1" s="17" t="str">
        <x:v>题目号</x:v>
      </x:c>
      <x:c r="E1" s="17" t="str">
        <x:v>当前RVID</x:v>
      </x:c>
      <x:c r="F1" s="17" t="str">
        <x:v>原RVID</x:v>
      </x:c>
      <x:c r="G1" s="17" t="str">
        <x:v>契约/组件</x:v>
      </x:c>
      <x:c r="H1" s="17" t="str">
        <x:v>难度</x:v>
      </x:c>
      <x:c r="I1" s="17" t="str">
        <x:v>题面</x:v>
      </x:c>
      <x:c r="J1" s="17" t="str">
        <x:v>学习目标</x:v>
      </x:c>
      <x:c r="K1" s="17" t="str">
        <x:v>库答案</x:v>
      </x:c>
      <x:c r="L1" s="17" t="str">
        <x:v>独立答案依据</x:v>
      </x:c>
      <x:c r="M1" s="17" t="str">
        <x:v>AI建议结论</x:v>
      </x:c>
      <x:c r="N1" s="17" t="str">
        <x:v>教学问题说明</x:v>
      </x:c>
      <x:c r="O1" s="17" t="str">
        <x:v>四级Hint审查</x:v>
      </x:c>
      <x:c r="P1" s="17" t="str">
        <x:v>建议修订方案</x:v>
      </x:c>
      <x:c r="Q1" s="17" t="str">
        <x:v>正式签认需补证据</x:v>
      </x:c>
      <x:c r="R1" s="17" t="str">
        <x:v>风险主题</x:v>
      </x:c>
      <x:c r="S1" s="17" t="str">
        <x:v>最新版本说明</x:v>
      </x:c>
      <x:c r="T1" s="17" t="str">
        <x:v>教研正式状态</x:v>
      </x:c>
      <x:c r="U1" s="17" t="str">
        <x:v>教研评审人</x:v>
      </x:c>
      <x:c r="V1" s="17" t="str">
        <x:v>签认日期</x:v>
      </x:c>
      <x:c r="W1" s="17" t="str">
        <x:v>教研意见</x:v>
      </x:c>
    </x:row>
    <x:row r="2" ht="58" customHeight="1">
      <x:c r="A2" s="24" t="n">
        <x:v>1</x:v>
      </x:c>
      <x:c r="B2" s="24" t="str">
        <x:v>Rev.B原69题</x:v>
      </x:c>
      <x:c r="C2" s="24" t="str">
        <x:v>检查验算</x:v>
      </x:c>
      <x:c r="D2" s="24" t="str">
        <x:v>V14-P0-086</x:v>
      </x:c>
      <x:c r="E2" s="24" t="str">
        <x:v>b0b699be-3ffe-4f42-b15e-6b8dbe5603fa</x:v>
      </x:c>
      <x:c r="F2" s="24" t="str">
        <x:v>b0b699be-3ffe-4f42-b15e-6b8dbe5603fa</x:v>
      </x:c>
      <x:c r="G2" s="24" t="str">
        <x:v>V2 / estimation-canvas</x:v>
      </x:c>
      <x:c r="H2" s="24" t="n">
        <x:v>1</x:v>
      </x:c>
      <x:c r="I2" s="24" t="str">
        <x:v>观察画布上的一组散点，不要先逐个计数。请以10个为一组估一估数量，把滑条移到最接近的整十数，并说明依据。</x:v>
      </x:c>
      <x:c r="J2" s="24" t="str">
        <x:v>基于参照数进行连续滑条估计并判断数量是否合理。</x:v>
      </x:c>
      <x:c r="K2" s="24" t="str">
        <x:v>50</x:v>
      </x:c>
      <x:c r="L2" s="24" t="str">
        <x:v>actual=46，最近整十数=50；滑条与解释的真实性另核</x:v>
      </x:c>
      <x:c r="M2" s="24" t="str">
        <x:v>REVISION_REQUIRED</x:v>
      </x:c>
      <x:c r="N2" s="24" t="str">
        <x:v>答案估整十可核算，但题干只要求初次估计，缺“判断他人估计或复核修正”的独立检查步骤。</x:v>
      </x:c>
      <x:c r="O2" s="24" t="str">
        <x:v>尚无直接泄题的静态结论；需教研按四级提示逐句确认。</x:v>
      </x:c>
      <x:c r="P2" s="24" t="str">
        <x:v>保留实际数量和参照10，增设一个待核验估值及“合理/不合理＋理由”；独立采集首次估计与检查后修正。</x:v>
      </x:c>
      <x:c r="Q2" s="24" t="str">
        <x:v>估计前后状态、所用参照、检查判断与理由；不能仅凭滑条终值判为检查验算。</x:v>
      </x:c>
      <x:c r="R2" s="24" t="str">
        <x:v>CHECK_ESTIMATION_VS_VERIFICATION</x:v>
      </x:c>
      <x:c r="S2" s="24" t="str">
        <x:v>原始未动</x:v>
      </x:c>
      <x:c r="T2" s="24" t="str">
        <x:v>PENDING</x:v>
      </x:c>
      <x:c r="U2" s="24" t="str"/>
      <x:c r="V2" s="24" t="str"/>
      <x:c r="W2" s="24" t="str"/>
    </x:row>
    <x:row r="3" ht="58" customHeight="1">
      <x:c r="A3" s="24" t="n">
        <x:v>2</x:v>
      </x:c>
      <x:c r="B3" s="24" t="str">
        <x:v>Rev.B原69题</x:v>
      </x:c>
      <x:c r="C3" s="24" t="str">
        <x:v>检查验算</x:v>
      </x:c>
      <x:c r="D3" s="24" t="str">
        <x:v>V14-P0-126</x:v>
      </x:c>
      <x:c r="E3" s="24" t="str">
        <x:v>770ab57a-a1e2-4c78-8a9e-d89db4559ce9</x:v>
      </x:c>
      <x:c r="F3" s="24" t="str">
        <x:v>770ab57a-a1e2-4c78-8a9e-d89db4559ce9</x:v>
      </x:c>
      <x:c r="G3" s="24" t="str">
        <x:v>V2 / ruler</x:v>
      </x:c>
      <x:c r="H3" s="24" t="n">
        <x:v>1</x:v>
      </x:c>
      <x:c r="I3" s="24" t="str">
        <x:v>请用尺子测量线段的两个端点在刻度5和12。线段长多少厘米？</x:v>
      </x:c>
      <x:c r="J3" s="24" t="str">
        <x:v>利用起点与终点刻度的差求线段长度，避免将右端读数直接当长度。</x:v>
      </x:c>
      <x:c r="K3" s="24" t="str">
        <x:v>7</x:v>
      </x:c>
      <x:c r="L3" s="24" t="str">
        <x:v>端点5、12，差值=7cm</x:v>
      </x:c>
      <x:c r="M3" s="24" t="str">
        <x:v>REVISION_REQUIRED</x:v>
      </x:c>
      <x:c r="N3" s="24" t="str">
        <x:v>通过两刻度之差测得长度，主要证明测量与减法；尚未要求独立复核或发现他人错误。</x:v>
      </x:c>
      <x:c r="O3" s="24" t="str">
        <x:v>尚无直接泄题的静态结论；需教研按四级提示逐句确认。</x:v>
      </x:c>
      <x:c r="P3" s="24" t="str">
        <x:v>加入“同学把终点刻度当长度”的判断题，要求测量与计数两种方式核对。</x:v>
      </x:c>
      <x:c r="Q3" s="24" t="str">
        <x:v>双端点读数、线段单位区间数、错误判别及复算证据。</x:v>
      </x:c>
      <x:c r="R3" s="24" t="str">
        <x:v>CHECK_NO_INDEPENDENT_VERIFY</x:v>
      </x:c>
      <x:c r="S3" s="24" t="str">
        <x:v>原始未动</x:v>
      </x:c>
      <x:c r="T3" s="24" t="str">
        <x:v>PENDING</x:v>
      </x:c>
      <x:c r="U3" s="24" t="str"/>
      <x:c r="V3" s="24" t="str"/>
      <x:c r="W3" s="24" t="str"/>
    </x:row>
    <x:row r="4" ht="58" customHeight="1">
      <x:c r="A4" s="24" t="n">
        <x:v>3</x:v>
      </x:c>
      <x:c r="B4" s="24" t="str">
        <x:v>Rev.B原69题</x:v>
      </x:c>
      <x:c r="C4" s="24" t="str">
        <x:v>检查验算</x:v>
      </x:c>
      <x:c r="D4" s="24" t="str">
        <x:v>V14-P0-082</x:v>
      </x:c>
      <x:c r="E4" s="24" t="str">
        <x:v>48817fba-ee0d-4101-8cb2-9ac5b4e66b91</x:v>
      </x:c>
      <x:c r="F4" s="24" t="str">
        <x:v>48817fba-ee0d-4101-8cb2-9ac5b4e66b91</x:v>
      </x:c>
      <x:c r="G4" s="24" t="str">
        <x:v>V2 / estimation-canvas</x:v>
      </x:c>
      <x:c r="H4" s="24" t="n">
        <x:v>2</x:v>
      </x:c>
      <x:c r="I4" s="24" t="str">
        <x:v>观察画布上的一组散点，不要先逐个计数。请以10个为一组估一估数量，把滑条移到最接近的整十数，并说明依据。</x:v>
      </x:c>
      <x:c r="J4" s="24" t="str">
        <x:v>基于参照数进行连续滑条估计并判断数量是否合理。</x:v>
      </x:c>
      <x:c r="K4" s="24" t="str">
        <x:v>30</x:v>
      </x:c>
      <x:c r="L4" s="24" t="str">
        <x:v>actual=31，最近整十数=30；滑条与解释的真实性另核</x:v>
      </x:c>
      <x:c r="M4" s="24" t="str">
        <x:v>REVISION_REQUIRED</x:v>
      </x:c>
      <x:c r="N4" s="24" t="str">
        <x:v>答案估整十可核算，但题干只要求初次估计，缺“判断他人估计或复核修正”的独立检查步骤。</x:v>
      </x:c>
      <x:c r="O4" s="24" t="str">
        <x:v>尚无直接泄题的静态结论；需教研按四级提示逐句确认。</x:v>
      </x:c>
      <x:c r="P4" s="24" t="str">
        <x:v>保留实际数量和参照10，增设一个待核验估值及“合理/不合理＋理由”；独立采集首次估计与检查后修正。</x:v>
      </x:c>
      <x:c r="Q4" s="24" t="str">
        <x:v>估计前后状态、所用参照、检查判断与理由；不能仅凭滑条终值判为检查验算。</x:v>
      </x:c>
      <x:c r="R4" s="24" t="str">
        <x:v>CHECK_ESTIMATION_VS_VERIFICATION</x:v>
      </x:c>
      <x:c r="S4" s="24" t="str">
        <x:v>原始未动</x:v>
      </x:c>
      <x:c r="T4" s="24" t="str">
        <x:v>PENDING</x:v>
      </x:c>
      <x:c r="U4" s="24" t="str"/>
      <x:c r="V4" s="24" t="str"/>
      <x:c r="W4" s="24" t="str"/>
    </x:row>
    <x:row r="5" ht="58" customHeight="1">
      <x:c r="A5" s="24" t="n">
        <x:v>4</x:v>
      </x:c>
      <x:c r="B5" s="24" t="str">
        <x:v>Rev.B原69题</x:v>
      </x:c>
      <x:c r="C5" s="24" t="str">
        <x:v>检查验算</x:v>
      </x:c>
      <x:c r="D5" s="24" t="str">
        <x:v>V14-P0-122</x:v>
      </x:c>
      <x:c r="E5" s="24" t="str">
        <x:v>e721a4c5-cee3-4660-9a4c-f33503bacaa6</x:v>
      </x:c>
      <x:c r="F5" s="24" t="str">
        <x:v>e721a4c5-cee3-4660-9a4c-f33503bacaa6</x:v>
      </x:c>
      <x:c r="G5" s="24" t="str">
        <x:v>V2 / ruler</x:v>
      </x:c>
      <x:c r="H5" s="24" t="n">
        <x:v>2</x:v>
      </x:c>
      <x:c r="I5" s="24" t="str">
        <x:v>请用尺子测量线段的两个端点在刻度2和9。线段长多少厘米？</x:v>
      </x:c>
      <x:c r="J5" s="24" t="str">
        <x:v>利用起点与终点刻度的差求线段长度，避免将右端读数直接当长度。</x:v>
      </x:c>
      <x:c r="K5" s="24" t="str">
        <x:v>7</x:v>
      </x:c>
      <x:c r="L5" s="24" t="str">
        <x:v>端点2、9，差值=7cm</x:v>
      </x:c>
      <x:c r="M5" s="24" t="str">
        <x:v>REVISION_REQUIRED</x:v>
      </x:c>
      <x:c r="N5" s="24" t="str">
        <x:v>通过两刻度之差测得长度，主要证明测量与减法；尚未要求独立复核或发现他人错误。</x:v>
      </x:c>
      <x:c r="O5" s="24" t="str">
        <x:v>尚无直接泄题的静态结论；需教研按四级提示逐句确认。</x:v>
      </x:c>
      <x:c r="P5" s="24" t="str">
        <x:v>加入“同学把终点刻度当长度”的判断题，要求测量与计数两种方式核对。</x:v>
      </x:c>
      <x:c r="Q5" s="24" t="str">
        <x:v>双端点读数、线段单位区间数、错误判别及复算证据。</x:v>
      </x:c>
      <x:c r="R5" s="24" t="str">
        <x:v>CHECK_NO_INDEPENDENT_VERIFY</x:v>
      </x:c>
      <x:c r="S5" s="24" t="str">
        <x:v>原始未动</x:v>
      </x:c>
      <x:c r="T5" s="24" t="str">
        <x:v>PENDING</x:v>
      </x:c>
      <x:c r="U5" s="24" t="str"/>
      <x:c r="V5" s="24" t="str"/>
      <x:c r="W5" s="24" t="str"/>
    </x:row>
    <x:row r="6" ht="58" customHeight="1">
      <x:c r="A6" s="24" t="n">
        <x:v>5</x:v>
      </x:c>
      <x:c r="B6" s="24" t="str">
        <x:v>Rev.B原69题</x:v>
      </x:c>
      <x:c r="C6" s="24" t="str">
        <x:v>条件识别</x:v>
      </x:c>
      <x:c r="D6" s="24" t="str">
        <x:v>V14-P0-096</x:v>
      </x:c>
      <x:c r="E6" s="24" t="str">
        <x:v>6446cda3-e53b-496d-9f8d-c1f758d2f743</x:v>
      </x:c>
      <x:c r="F6" s="24" t="str">
        <x:v>55810dda-4636-4150-8c31-ff81af70c8f8</x:v>
      </x:c>
      <x:c r="G6" s="24" t="str">
        <x:v>V2 / shape-gallery</x:v>
      </x:c>
      <x:c r="H6" s="24" t="n">
        <x:v>1</x:v>
      </x:c>
      <x:c r="I6" s="24" t="str">
        <x:v>图形盘中有6张图形卡。请把所有“正方形”放进对应的家，再数数这一类一共有几张卡。</x:v>
      </x:c>
      <x:c r="J6" s="24" t="str">
        <x:v>辨认图形类别，把相同类型的图形归入同一组并计数。</x:v>
      </x:c>
      <x:c r="K6" s="24" t="str">
        <x:v>2</x:v>
      </x:c>
      <x:c r="L6" s="24" t="str">
        <x:v>按目标类别 square 从6张卡的 kind 独立计数=2（需另审颜色/类别显示与无障碍）</x:v>
      </x:c>
      <x:c r="M6" s="24" t="str">
        <x:v>APPROVED_CANDIDATE</x:v>
      </x:c>
      <x:c r="N6" s="24" t="str">
        <x:v>按“边/角/类别”筛选目标组，能够直接测量条件识别；中性卡名整改已经生效。</x:v>
      </x:c>
      <x:c r="O6" s="24" t="str">
        <x:v>尚无直接泄题的静态结论；需教研按四级提示逐句确认。 ACCESS-01读屏可识别性未验收。</x:v>
      </x:c>
      <x:c r="P6" s="24" t="str">
        <x:v>保留图形筛选与目标计数；ACCESS-01补可识别图形特征且不直接念出类别的无障碍描述。</x:v>
      </x:c>
      <x:c r="Q6" s="24" t="str">
        <x:v>正确形状分组、非目标图形不混入；读屏与纯键盘操作检查。</x:v>
      </x:c>
      <x:c r="R6" s="24" t="str">
        <x:v>SHAPE_NAME_FIXED_ACCESS_PENDING</x:v>
      </x:c>
      <x:c r="S6" s="24" t="str">
        <x:v>整改新版（旧 55810dda·shape_name_neutralize）</x:v>
      </x:c>
      <x:c r="T6" s="24" t="str">
        <x:v>PENDING</x:v>
      </x:c>
      <x:c r="U6" s="24" t="str"/>
      <x:c r="V6" s="24" t="str"/>
      <x:c r="W6" s="24" t="str"/>
    </x:row>
    <x:row r="7" ht="58" customHeight="1">
      <x:c r="A7" s="24" t="n">
        <x:v>6</x:v>
      </x:c>
      <x:c r="B7" s="24" t="str">
        <x:v>Rev.B原69题</x:v>
      </x:c>
      <x:c r="C7" s="24" t="str">
        <x:v>条件识别</x:v>
      </x:c>
      <x:c r="D7" s="24" t="str">
        <x:v>给正方形找一个家</x:v>
      </x:c>
      <x:c r="E7" s="24" t="str">
        <x:v>b0e607c7-add5-4372-9671-78ec108282fd</x:v>
      </x:c>
      <x:c r="F7" s="24" t="str">
        <x:v>95d79265-76d9-4625-bf83-3cb90d4fab5c</x:v>
      </x:c>
      <x:c r="G7" s="24" t="str">
        <x:v>V2 / shape-gallery</x:v>
      </x:c>
      <x:c r="H7" s="24" t="n">
        <x:v>1</x:v>
      </x:c>
      <x:c r="I7" s="24" t="str">
        <x:v>美术角的图形墙上有 6 个图形邻居混住了。把所有的**正方形**点起来，放进下面「正方形的家」里——长方形、圆形的朋友可不是正方形哦。数一数家里最后有几个图形。</x:v>
      </x:c>
      <x:c r="J7" s="24" t="str">
        <x:v>按边与角的属性识别并分类正方形（计数验证）</x:v>
      </x:c>
      <x:c r="K7" s="24" t="str">
        <x:v>3</x:v>
      </x:c>
      <x:c r="L7" s="24" t="str">
        <x:v>按目标类别 square 从6张卡的 kind 独立计数=3（需另审颜色/类别显示与无障碍）</x:v>
      </x:c>
      <x:c r="M7" s="24" t="str">
        <x:v>REVISION_REQUIRED</x:v>
      </x:c>
      <x:c r="N7" s="24" t="str">
        <x:v>按“边/角/类别”筛选目标组，能够直接测量条件识别；中性卡名整改已经生效。 但L4提示明确列出红、绿、紫三张正确卡片，构成直接代选。</x:v>
      </x:c>
      <x:c r="O7" s="24" t="str">
        <x:v>L4为最终结果/具体卡片时需标记重度提示，不可作为独立掌握正证。 ACCESS-01读屏可识别性未验收。</x:v>
      </x:c>
      <x:c r="P7" s="24" t="str">
        <x:v>保留图形筛选与目标计数；ACCESS-01补可识别图形特征且不直接念出类别的无障碍描述。 将L4改为逐条判断四边相等的步骤，不直接点明三个目标颜色。</x:v>
      </x:c>
      <x:c r="Q7" s="24" t="str">
        <x:v>正确形状分组、非目标图形不混入；读屏与纯键盘操作检查。</x:v>
      </x:c>
      <x:c r="R7" s="24" t="str">
        <x:v>SHAPE_NAME_FIXED_ACCESS_PENDING</x:v>
      </x:c>
      <x:c r="S7" s="24" t="str">
        <x:v>整改新版（旧 95d79265·shape_name_neutralize）</x:v>
      </x:c>
      <x:c r="T7" s="24" t="str">
        <x:v>PENDING</x:v>
      </x:c>
      <x:c r="U7" s="24" t="str"/>
      <x:c r="V7" s="24" t="str"/>
      <x:c r="W7" s="24" t="str"/>
    </x:row>
    <x:row r="8" ht="58" customHeight="1">
      <x:c r="A8" s="24" t="n">
        <x:v>7</x:v>
      </x:c>
      <x:c r="B8" s="24" t="str">
        <x:v>Rev.B原69题</x:v>
      </x:c>
      <x:c r="C8" s="24" t="str">
        <x:v>条件识别</x:v>
      </x:c>
      <x:c r="D8" s="24" t="str">
        <x:v>把钟拨到 6 点</x:v>
      </x:c>
      <x:c r="E8" s="24" t="str">
        <x:v>814b32f1-a3ac-4d7c-9ae2-6c39fbd6c84f</x:v>
      </x:c>
      <x:c r="F8" s="24" t="str">
        <x:v>814b32f1-a3ac-4d7c-9ae2-6c39fbd6c84f</x:v>
      </x:c>
      <x:c r="G8" s="24" t="str">
        <x:v>V2 / clock</x:v>
      </x:c>
      <x:c r="H8" s="24" t="n">
        <x:v>2</x:v>
      </x:c>
      <x:c r="I8" s="24" t="str">
        <x:v>钟面上现在是 **3:00**。动画片 **6:00** 开始播出——把时针（短针）和分针（长针）拨到 6 点整。点钟面上的数字拨短针，点下面「整点 / 半点」拨长针。答案用**分钟**表示 6 点（从 12 点走起一共几分钟，如 1 点=60）。</x:v>
      </x:c>
      <x:c r="J8" s="24" t="str">
        <x:v>区分时针/分针职责并按整时口径拨钟</x:v>
      </x:c>
      <x:c r="K8" s="24" t="str">
        <x:v>360</x:v>
      </x:c>
      <x:c r="L8" s="24" t="str">
        <x:v>目标时间 6:00；按题库约定换算分钟=360</x:v>
      </x:c>
      <x:c r="M8" s="24" t="str">
        <x:v>REVISION_REQUIRED</x:v>
      </x:c>
      <x:c r="N8" s="24" t="str">
        <x:v>题目已直接告知目标“6点整”，主要检验拨钟；条件识别过程及分钟答案的推理尚未独立测量。</x:v>
      </x:c>
      <x:c r="O8" s="24" t="str">
        <x:v>L4为最终结果/具体卡片时需标记重度提示，不可作为独立掌握正证。</x:v>
      </x:c>
      <x:c r="P8" s="24" t="str">
        <x:v>要求孩子先从活动开始时刻、短长针约束中判断目标时刻，记录针选择和原因；检查L3/L4直接给6和360的提示强度。</x:v>
      </x:c>
      <x:c r="Q8" s="24" t="str">
        <x:v>时针/分针的独立设置、条件判断、未经高等级提示的正确复核。</x:v>
      </x:c>
      <x:c r="R8" s="24" t="str">
        <x:v>CLOCK_TARGET_AND_HINT_STEP</x:v>
      </x:c>
      <x:c r="S8" s="24" t="str">
        <x:v>原始未动</x:v>
      </x:c>
      <x:c r="T8" s="24" t="str">
        <x:v>PENDING</x:v>
      </x:c>
      <x:c r="U8" s="24" t="str"/>
      <x:c r="V8" s="24" t="str"/>
      <x:c r="W8" s="24" t="str"/>
    </x:row>
    <x:row r="9" ht="58" customHeight="1">
      <x:c r="A9" s="24" t="n">
        <x:v>8</x:v>
      </x:c>
      <x:c r="B9" s="24" t="str">
        <x:v>Rev.B原69题</x:v>
      </x:c>
      <x:c r="C9" s="24" t="str">
        <x:v>条件识别</x:v>
      </x:c>
      <x:c r="D9" s="24" t="str">
        <x:v>V14-P0-092</x:v>
      </x:c>
      <x:c r="E9" s="24" t="str">
        <x:v>905207e0-0ef5-4d1c-bb6a-2aa71f6adfe3</x:v>
      </x:c>
      <x:c r="F9" s="24" t="str">
        <x:v>68f68512-5167-4d30-8f31-a082e12a0244</x:v>
      </x:c>
      <x:c r="G9" s="24" t="str">
        <x:v>V2 / shape-gallery</x:v>
      </x:c>
      <x:c r="H9" s="24" t="n">
        <x:v>2</x:v>
      </x:c>
      <x:c r="I9" s="24" t="str">
        <x:v>图形盘中有6张图形卡。请把所有“圆形”放进对应的家，再数数这一类一共有几张卡。</x:v>
      </x:c>
      <x:c r="J9" s="24" t="str">
        <x:v>辨认图形类别，把相同类型的图形归入同一组并计数。</x:v>
      </x:c>
      <x:c r="K9" s="24" t="str">
        <x:v>1</x:v>
      </x:c>
      <x:c r="L9" s="24" t="str">
        <x:v>按目标类别 circle 从6张卡的 kind 独立计数=1（需另审颜色/类别显示与无障碍）</x:v>
      </x:c>
      <x:c r="M9" s="24" t="str">
        <x:v>APPROVED_CANDIDATE</x:v>
      </x:c>
      <x:c r="N9" s="24" t="str">
        <x:v>按“边/角/类别”筛选目标组，能够直接测量条件识别；中性卡名整改已经生效。</x:v>
      </x:c>
      <x:c r="O9" s="24" t="str">
        <x:v>尚无直接泄题的静态结论；需教研按四级提示逐句确认。 ACCESS-01读屏可识别性未验收。</x:v>
      </x:c>
      <x:c r="P9" s="24" t="str">
        <x:v>保留图形筛选与目标计数；ACCESS-01补可识别图形特征且不直接念出类别的无障碍描述。</x:v>
      </x:c>
      <x:c r="Q9" s="24" t="str">
        <x:v>正确形状分组、非目标图形不混入；读屏与纯键盘操作检查。</x:v>
      </x:c>
      <x:c r="R9" s="24" t="str">
        <x:v>SHAPE_NAME_FIXED_ACCESS_PENDING</x:v>
      </x:c>
      <x:c r="S9" s="24" t="str">
        <x:v>整改新版（旧 68f68512·shape_name_neutralize）</x:v>
      </x:c>
      <x:c r="T9" s="24" t="str">
        <x:v>PENDING</x:v>
      </x:c>
      <x:c r="U9" s="24" t="str"/>
      <x:c r="V9" s="24" t="str"/>
      <x:c r="W9" s="24" t="str"/>
    </x:row>
    <x:row r="10" ht="58" customHeight="1">
      <x:c r="A10" s="24" t="n">
        <x:v>9</x:v>
      </x:c>
      <x:c r="B10" s="24" t="str">
        <x:v>Rev.B原69题</x:v>
      </x:c>
      <x:c r="C10" s="24" t="str">
        <x:v>条件识别</x:v>
      </x:c>
      <x:c r="D10" s="24" t="str">
        <x:v>V14-P0-103</x:v>
      </x:c>
      <x:c r="E10" s="24" t="str">
        <x:v>12f89452-ad38-4c24-af5d-d734f5b4c43b</x:v>
      </x:c>
      <x:c r="F10" s="24" t="str">
        <x:v>12f89452-ad38-4c24-af5d-d734f5b4c43b</x:v>
      </x:c>
      <x:c r="G10" s="24" t="str">
        <x:v>V2 / shape-canvas</x:v>
      </x:c>
      <x:c r="H10" s="24" t="n">
        <x:v>3</x:v>
      </x:c>
      <x:c r="I10" s="24" t="str">
        <x:v>在5×5方格纸上画一个底边3格、高3格的长方形，使边落在格线上。请数格或计算它的面积是多少平方格。</x:v>
      </x:c>
      <x:c r="J10" s="24" t="str">
        <x:v>在网格上绘制可评价的基本图形，计算其面积。</x:v>
      </x:c>
      <x:c r="K10" s="24" t="str">
        <x:v>9</x:v>
      </x:c>
      <x:c r="L10" s="24" t="str">
        <x:v>底边3×高3=9，图形类别用语另核</x:v>
      </x:c>
      <x:c r="M10" s="24" t="str">
        <x:v>REVISION_REQUIRED</x:v>
      </x:c>
      <x:c r="N10" s="24" t="str">
        <x:v>3×3同时是正方形；“画长方形”分类口径容易与题目想测量的条件识别混淆。</x:v>
      </x:c>
      <x:c r="O10" s="24" t="str">
        <x:v>尚无直接泄题的静态结论；需教研按四级提示逐句确认。</x:v>
      </x:c>
      <x:c r="P10" s="24" t="str">
        <x:v>与教研明确正方形是否计入长方形，或调整为3×2；若改尺寸须同步答案、配置及新版本。</x:v>
      </x:c>
      <x:c r="Q10" s="24" t="str">
        <x:v>形状类型口径、绘制顶点与面积证据、二年级适龄确认。</x:v>
      </x:c>
      <x:c r="R10" s="24" t="str">
        <x:v>SQUARE_RECTANGLE_LABEL_CONVENTION</x:v>
      </x:c>
      <x:c r="S10" s="24" t="str">
        <x:v>原始未动</x:v>
      </x:c>
      <x:c r="T10" s="24" t="str">
        <x:v>PENDING</x:v>
      </x:c>
      <x:c r="U10" s="24" t="str"/>
      <x:c r="V10" s="24" t="str"/>
      <x:c r="W10" s="24" t="str"/>
    </x:row>
    <x:row r="11" ht="58" customHeight="1">
      <x:c r="A11" s="24" t="n">
        <x:v>10</x:v>
      </x:c>
      <x:c r="B11" s="24" t="str">
        <x:v>Rev.B原69题</x:v>
      </x:c>
      <x:c r="C11" s="24" t="str">
        <x:v>条件识别</x:v>
      </x:c>
      <x:c r="D11" s="24" t="str">
        <x:v>V14-P0-094</x:v>
      </x:c>
      <x:c r="E11" s="24" t="str">
        <x:v>4821e8a3-dadd-4dcb-8660-f0d1fb9ad465</x:v>
      </x:c>
      <x:c r="F11" s="24" t="str">
        <x:v>2bbbc87a-db80-462a-83da-7027a4bbca93</x:v>
      </x:c>
      <x:c r="G11" s="24" t="str">
        <x:v>V2 / shape-gallery</x:v>
      </x:c>
      <x:c r="H11" s="24" t="n">
        <x:v>4</x:v>
      </x:c>
      <x:c r="I11" s="24" t="str">
        <x:v>图形盘中有6张图形卡。请把所有“三角形”放进对应的家，再数数这一类一共有几张卡。</x:v>
      </x:c>
      <x:c r="J11" s="24" t="str">
        <x:v>辨认图形类别，把相同类型的图形归入同一组并计数。</x:v>
      </x:c>
      <x:c r="K11" s="24" t="str">
        <x:v>2</x:v>
      </x:c>
      <x:c r="L11" s="24" t="str">
        <x:v>按目标类别 triangle 从6张卡的 kind 独立计数=2（需另审颜色/类别显示与无障碍）</x:v>
      </x:c>
      <x:c r="M11" s="24" t="str">
        <x:v>APPROVED_CANDIDATE</x:v>
      </x:c>
      <x:c r="N11" s="24" t="str">
        <x:v>按“边/角/类别”筛选目标组，能够直接测量条件识别；中性卡名整改已经生效。</x:v>
      </x:c>
      <x:c r="O11" s="24" t="str">
        <x:v>尚无直接泄题的静态结论；需教研按四级提示逐句确认。 ACCESS-01读屏可识别性未验收。</x:v>
      </x:c>
      <x:c r="P11" s="24" t="str">
        <x:v>保留图形筛选与目标计数；ACCESS-01补可识别图形特征且不直接念出类别的无障碍描述。</x:v>
      </x:c>
      <x:c r="Q11" s="24" t="str">
        <x:v>正确形状分组、非目标图形不混入；读屏与纯键盘操作检查。</x:v>
      </x:c>
      <x:c r="R11" s="24" t="str">
        <x:v>SHAPE_NAME_FIXED_ACCESS_PENDING</x:v>
      </x:c>
      <x:c r="S11" s="24" t="str">
        <x:v>整改新版（旧 2bbbc87a·shape_name_neutralize）</x:v>
      </x:c>
      <x:c r="T11" s="24" t="str">
        <x:v>PENDING</x:v>
      </x:c>
      <x:c r="U11" s="24" t="str"/>
      <x:c r="V11" s="24" t="str"/>
      <x:c r="W11" s="24" t="str"/>
    </x:row>
    <x:row r="12" ht="58" customHeight="1">
      <x:c r="A12" s="24" t="n">
        <x:v>11</x:v>
      </x:c>
      <x:c r="B12" s="24" t="str">
        <x:v>Rev.B原69题</x:v>
      </x:c>
      <x:c r="C12" s="24" t="str">
        <x:v>条件识别</x:v>
      </x:c>
      <x:c r="D12" s="24" t="str">
        <x:v>V14-P0-090</x:v>
      </x:c>
      <x:c r="E12" s="24" t="str">
        <x:v>31554b60-52f5-4f51-86ee-04aea3d09c08</x:v>
      </x:c>
      <x:c r="F12" s="24" t="str">
        <x:v>125e7a06-5376-44ef-86f1-bceaa14505b2</x:v>
      </x:c>
      <x:c r="G12" s="24" t="str">
        <x:v>V2 / shape-gallery</x:v>
      </x:c>
      <x:c r="H12" s="24" t="n">
        <x:v>5</x:v>
      </x:c>
      <x:c r="I12" s="24" t="str">
        <x:v>图形盘中有6张图形卡。请把所有“正方形”放进对应的家，再数数这一类一共有几张卡。</x:v>
      </x:c>
      <x:c r="J12" s="24" t="str">
        <x:v>辨认图形类别，把相同类型的图形归入同一组并计数。</x:v>
      </x:c>
      <x:c r="K12" s="24" t="str">
        <x:v>1</x:v>
      </x:c>
      <x:c r="L12" s="24" t="str">
        <x:v>按目标类别 square 从6张卡的 kind 独立计数=1（需另审颜色/类别显示与无障碍）</x:v>
      </x:c>
      <x:c r="M12" s="24" t="str">
        <x:v>APPROVED_CANDIDATE</x:v>
      </x:c>
      <x:c r="N12" s="24" t="str">
        <x:v>按“边/角/类别”筛选目标组，能够直接测量条件识别；中性卡名整改已经生效。</x:v>
      </x:c>
      <x:c r="O12" s="24" t="str">
        <x:v>尚无直接泄题的静态结论；需教研按四级提示逐句确认。 ACCESS-01读屏可识别性未验收。</x:v>
      </x:c>
      <x:c r="P12" s="24" t="str">
        <x:v>保留图形筛选与目标计数；ACCESS-01补可识别图形特征且不直接念出类别的无障碍描述。</x:v>
      </x:c>
      <x:c r="Q12" s="24" t="str">
        <x:v>正确形状分组、非目标图形不混入；读屏与纯键盘操作检查。</x:v>
      </x:c>
      <x:c r="R12" s="24" t="str">
        <x:v>SHAPE_NAME_FIXED_ACCESS_PENDING</x:v>
      </x:c>
      <x:c r="S12" s="24" t="str">
        <x:v>整改新版（旧 125e7a06·shape_name_neutralize）</x:v>
      </x:c>
      <x:c r="T12" s="24" t="str">
        <x:v>PENDING</x:v>
      </x:c>
      <x:c r="U12" s="24" t="str"/>
      <x:c r="V12" s="24" t="str"/>
      <x:c r="W12" s="24" t="str"/>
    </x:row>
    <x:row r="13" ht="58" customHeight="1">
      <x:c r="A13" s="24" t="n">
        <x:v>12</x:v>
      </x:c>
      <x:c r="B13" s="24" t="str">
        <x:v>Rev.B原69题</x:v>
      </x:c>
      <x:c r="C13" s="24" t="str">
        <x:v>建模表征</x:v>
      </x:c>
      <x:c r="D13" s="24" t="str">
        <x:v>画条形图算一共（V2 链 R02）</x:v>
      </x:c>
      <x:c r="E13" s="24" t="str">
        <x:v>98bb0ca7-74dc-4c24-aba0-abe0e4a37c2c</x:v>
      </x:c>
      <x:c r="F13" s="24" t="str">
        <x:v>98bb0ca7-74dc-4c24-aba0-abe0e4a37c2c</x:v>
      </x:c>
      <x:c r="G13" s="24" t="str">
        <x:v>V2 / bar-model</x:v>
      </x:c>
      <x:c r="H13" s="24" t="n">
        <x:v>1</x:v>
      </x:c>
      <x:c r="I13" s="24" t="str">
        <x:v>小雨有5颗红星星，又画了3颗黄星星。把两根部分条摆出来，再把整体条摆得和加起来一样长。一共几颗？</x:v>
      </x:c>
      <x:c r="J13" s="24" t="str">
        <x:v>用条形图表征部分-整体关系（先摆已知，再摆整体）</x:v>
      </x:c>
      <x:c r="K13" s="24" t="str">
        <x:v>8</x:v>
      </x:c>
      <x:c r="L13" s="24" t="str">
        <x:v>沿用Rev.A数学核对依据；本轮未针对该题建立新的独立数学推导</x:v>
      </x:c>
      <x:c r="M13" s="24" t="str">
        <x:v>APPROVED_CANDIDATE</x:v>
      </x:c>
      <x:c r="N13" s="24" t="str">
        <x:v>明确要求先摆两个部分条，再摆整体条；表征操作与部分—整体目标一致。</x:v>
      </x:c>
      <x:c r="O13" s="24" t="str">
        <x:v>尚无直接泄题的静态结论；需教研按四级提示逐句确认。</x:v>
      </x:c>
      <x:c r="P13" s="24" t="str">
        <x:v>教研检查L3/L4提供数值与结果的时机；保留两部分与整体长度的对应关系。</x:v>
      </x:c>
      <x:c r="Q13" s="24" t="str">
        <x:v>两部分条与整体条的长度/关系证据，允许不同合法摆放。</x:v>
      </x:c>
      <x:c r="R13" s="24" t="str">
        <x:v>BAR_WHOLE_PART_PROCESS_HINT</x:v>
      </x:c>
      <x:c r="S13" s="24" t="str">
        <x:v>原始未动</x:v>
      </x:c>
      <x:c r="T13" s="24" t="str">
        <x:v>PENDING</x:v>
      </x:c>
      <x:c r="U13" s="24" t="str"/>
      <x:c r="V13" s="24" t="str"/>
      <x:c r="W13" s="24" t="str"/>
    </x:row>
    <x:row r="14" ht="58" customHeight="1">
      <x:c r="A14" s="24" t="n">
        <x:v>13</x:v>
      </x:c>
      <x:c r="B14" s="24" t="str">
        <x:v>Rev.B原69题</x:v>
      </x:c>
      <x:c r="C14" s="24" t="str">
        <x:v>建模表征</x:v>
      </x:c>
      <x:c r="D14" s="24" t="str">
        <x:v>排队做操（V2 链 R08）</x:v>
      </x:c>
      <x:c r="E14" s="24" t="str">
        <x:v>5d41bfd4-bc9b-4c54-b454-2413041fa1bf</x:v>
      </x:c>
      <x:c r="F14" s="24" t="str">
        <x:v>5d41bfd4-bc9b-4c54-b454-2413041fa1bf</x:v>
      </x:c>
      <x:c r="G14" s="24" t="str">
        <x:v>V2 / array-board</x:v>
      </x:c>
      <x:c r="H14" s="24" t="n">
        <x:v>1</x:v>
      </x:c>
      <x:c r="I14" s="24" t="str">
        <x:v>小朋友排队做操，每排站4人，站了3排。用行列把队伍排出来（先想横的几排、竖的几人），数一数一共几人？</x:v>
      </x:c>
      <x:c r="J14" s="24" t="str">
        <x:v>用行列阵列表征几个几（3排×每排4人=12）</x:v>
      </x:c>
      <x:c r="K14" s="24" t="str">
        <x:v>12</x:v>
      </x:c>
      <x:c r="L14" s="24" t="str">
        <x:v>3行×4列=12</x:v>
      </x:c>
      <x:c r="M14" s="24" t="str">
        <x:v>APPROVED_CANDIDATE</x:v>
      </x:c>
      <x:c r="N14" s="24" t="str">
        <x:v>要求按排与每排人数真实构建阵列，结构化行列是建模证据。</x:v>
      </x:c>
      <x:c r="O14" s="24" t="str">
        <x:v>尚无直接泄题的静态结论；需教研按四级提示逐句确认。</x:v>
      </x:c>
      <x:c r="P14" s="24" t="str">
        <x:v>L4按4、8、12示范时应降低独立性权重；关注行/列倒置是否语义等价。</x:v>
      </x:c>
      <x:c r="Q14" s="24" t="str">
        <x:v>行数、列数与阵列构成；核验是否确有3×4模型而非只填12。</x:v>
      </x:c>
      <x:c r="R14" s="24" t="str">
        <x:v>ARRAY_REPRESENTATION_HINT</x:v>
      </x:c>
      <x:c r="S14" s="24" t="str">
        <x:v>原始未动</x:v>
      </x:c>
      <x:c r="T14" s="24" t="str">
        <x:v>PENDING</x:v>
      </x:c>
      <x:c r="U14" s="24" t="str"/>
      <x:c r="V14" s="24" t="str"/>
      <x:c r="W14" s="24" t="str"/>
    </x:row>
    <x:row r="15" ht="58" customHeight="1">
      <x:c r="A15" s="24" t="n">
        <x:v>14</x:v>
      </x:c>
      <x:c r="B15" s="24" t="str">
        <x:v>Rev.B原69题</x:v>
      </x:c>
      <x:c r="C15" s="24" t="str">
        <x:v>建模表征</x:v>
      </x:c>
      <x:c r="D15" s="24" t="str">
        <x:v>书架上大约有多少本书</x:v>
      </x:c>
      <x:c r="E15" s="24" t="str">
        <x:v>cd7f008d-9637-4960-a4df-03684cce3e5a</x:v>
      </x:c>
      <x:c r="F15" s="24" t="str">
        <x:v>cd7f008d-9637-4960-a4df-03684cce3e5a</x:v>
      </x:c>
      <x:c r="G15" s="24" t="str">
        <x:v>V2 / estimation-canvas</x:v>
      </x:c>
      <x:c r="H15" s="24" t="n">
        <x:v>2</x:v>
      </x:c>
      <x:c r="I15" s="24" t="str">
        <x:v>书店阿姨数到一半记下了：这一摞是 10 本。整个书架上的书比这一摞多得多。拖动滑条估一估书架上大约有多少本，再选一选你是怎么想的。（答案估到最接近的整十）</x:v>
      </x:c>
      <x:c r="J15" s="24" t="str">
        <x:v>用参照量估算总数并四舍五入到整十</x:v>
      </x:c>
      <x:c r="K15" s="24" t="str">
        <x:v>40</x:v>
      </x:c>
      <x:c r="L15" s="24" t="str">
        <x:v>actual=38，最近整十数=40；滑条与解释的真实性另核</x:v>
      </x:c>
      <x:c r="M15" s="24" t="str">
        <x:v>REVISION_REQUIRED</x:v>
      </x:c>
      <x:c r="N15" s="24" t="str">
        <x:v>参照10估计与滑条解释可以检验估量，但尚未要求自主选择或说明建模关系；题干“比10多得多”单独不足以决定40。</x:v>
      </x:c>
      <x:c r="O15" s="24" t="str">
        <x:v>尚无直接泄题的静态结论；需教研按四级提示逐句确认。</x:v>
      </x:c>
      <x:c r="P15" s="24" t="str">
        <x:v>确保书架视觉实际可支持38本左右的估算，要求写明参照组数量和整十推断，不仅仅录入40。</x:v>
      </x:c>
      <x:c r="Q15" s="24" t="str">
        <x:v>实际书本数量与渲染一致、参照10→近似40的独立解释。</x:v>
      </x:c>
      <x:c r="R15" s="24" t="str">
        <x:v>ESTIMATION_UNDERDETERMINED_VISUAL</x:v>
      </x:c>
      <x:c r="S15" s="24" t="str">
        <x:v>原始未动</x:v>
      </x:c>
      <x:c r="T15" s="24" t="str">
        <x:v>PENDING</x:v>
      </x:c>
      <x:c r="U15" s="24" t="str"/>
      <x:c r="V15" s="24" t="str"/>
      <x:c r="W15" s="24" t="str"/>
    </x:row>
    <x:row r="16" ht="58" customHeight="1">
      <x:c r="A16" s="24" t="n">
        <x:v>15</x:v>
      </x:c>
      <x:c r="B16" s="24" t="str">
        <x:v>Rev.B原69题</x:v>
      </x:c>
      <x:c r="C16" s="24" t="str">
        <x:v>读题理解</x:v>
      </x:c>
      <x:c r="D16" s="24" t="str">
        <x:v>V14-P0-006</x:v>
      </x:c>
      <x:c r="E16" s="24" t="str">
        <x:v>855de461-b22d-41c2-b3bd-5d03976965c8</x:v>
      </x:c>
      <x:c r="F16" s="24" t="str">
        <x:v>855de461-b22d-41c2-b3bd-5d03976965c8</x:v>
      </x:c>
      <x:c r="G16" s="24" t="str">
        <x:v>V2 / object-counter</x:v>
      </x:c>
      <x:c r="H16" s="24" t="n">
        <x:v>1</x:v>
      </x:c>
      <x:c r="I16" s="24" t="str">
        <x:v>桌上左边摆着3块积木，右边又摆了3块。请把两组积木放到数数区，数出一共有多少块。</x:v>
      </x:c>
      <x:c r="J16" s="24" t="str">
        <x:v>用分组摆放和逐个计数核对总量，区分已有量与增加量。</x:v>
      </x:c>
      <x:c r="K16" s="24" t="str">
        <x:v>6</x:v>
      </x:c>
      <x:c r="L16" s="24" t="str">
        <x:v>组数量[3, 3]合计=6</x:v>
      </x:c>
      <x:c r="M16" s="24" t="str">
        <x:v>REVISION_REQUIRED</x:v>
      </x:c>
      <x:c r="N16" s="24" t="str">
        <x:v>题目主要考查数字/图形/数量操作，直接答对无法排除“会算但未理解语句”的混淆。</x:v>
      </x:c>
      <x:c r="O16" s="24" t="str">
        <x:v>尚无直接泄题的静态结论；需教研按四级提示逐句确认。</x:v>
      </x:c>
      <x:c r="P16" s="24" t="str">
        <x:v>增加一个必须依据题干语义选择条件、对象或先后顺序的小步骤；必要时改归更贴近的数感/图形能力。</x:v>
      </x:c>
      <x:c r="Q16" s="24" t="str">
        <x:v>独立提取的关键条件、目标指向与行动顺序证据；只记录终答案不足以签读题理解。</x:v>
      </x:c>
      <x:c r="R16" s="24" t="str">
        <x:v>ABILITY_ALIGNMENT_READING_WEAK</x:v>
      </x:c>
      <x:c r="S16" s="24" t="str">
        <x:v>原始未动</x:v>
      </x:c>
      <x:c r="T16" s="24" t="str">
        <x:v>PENDING</x:v>
      </x:c>
      <x:c r="U16" s="24" t="str"/>
      <x:c r="V16" s="24" t="str"/>
      <x:c r="W16" s="24" t="str"/>
    </x:row>
    <x:row r="17" ht="58" customHeight="1">
      <x:c r="A17" s="24" t="n">
        <x:v>16</x:v>
      </x:c>
      <x:c r="B17" s="24" t="str">
        <x:v>Rev.B原69题</x:v>
      </x:c>
      <x:c r="C17" s="24" t="str">
        <x:v>读题理解</x:v>
      </x:c>
      <x:c r="D17" s="24" t="str">
        <x:v>V14-P0-046</x:v>
      </x:c>
      <x:c r="E17" s="24" t="str">
        <x:v>e479b6ef-c53b-45e7-ae44-e7c5077028e3</x:v>
      </x:c>
      <x:c r="F17" s="24" t="str">
        <x:v>e479b6ef-c53b-45e7-ae44-e7c5077028e3</x:v>
      </x:c>
      <x:c r="G17" s="24" t="str">
        <x:v>V2 / ten-frame</x:v>
      </x:c>
      <x:c r="H17" s="24" t="n">
        <x:v>1</x:v>
      </x:c>
      <x:c r="I17" s="24" t="str">
        <x:v>第一格框里已有5个圆点，接着再放5个。请在十格框中摆出变化，最后填写一共有多少个圆点。</x:v>
      </x:c>
      <x:c r="J17" s="24" t="str">
        <x:v>利用十格框的五格/十格结构合并和清点圆点。</x:v>
      </x:c>
      <x:c r="K17" s="24" t="str">
        <x:v>10</x:v>
      </x:c>
      <x:c r="L17" s="24" t="str">
        <x:v>初始5，达到10，应添加5个</x:v>
      </x:c>
      <x:c r="M17" s="24" t="str">
        <x:v>REVISION_REQUIRED</x:v>
      </x:c>
      <x:c r="N17" s="24" t="str">
        <x:v>题目主要考查数字/图形/数量操作，直接答对无法排除“会算但未理解语句”的混淆。</x:v>
      </x:c>
      <x:c r="O17" s="24" t="str">
        <x:v>尚无直接泄题的静态结论；需教研按四级提示逐句确认。</x:v>
      </x:c>
      <x:c r="P17" s="24" t="str">
        <x:v>增加一个必须依据题干语义选择条件、对象或先后顺序的小步骤；必要时改归更贴近的数感/图形能力。</x:v>
      </x:c>
      <x:c r="Q17" s="24" t="str">
        <x:v>独立提取的关键条件、目标指向与行动顺序证据；只记录终答案不足以签读题理解。</x:v>
      </x:c>
      <x:c r="R17" s="24" t="str">
        <x:v>ABILITY_ALIGNMENT_READING_WEAK</x:v>
      </x:c>
      <x:c r="S17" s="24" t="str">
        <x:v>原始未动</x:v>
      </x:c>
      <x:c r="T17" s="24" t="str">
        <x:v>PENDING</x:v>
      </x:c>
      <x:c r="U17" s="24" t="str"/>
      <x:c r="V17" s="24" t="str"/>
      <x:c r="W17" s="24" t="str"/>
    </x:row>
    <x:row r="18" ht="58" customHeight="1">
      <x:c r="A18" s="24" t="n">
        <x:v>17</x:v>
      </x:c>
      <x:c r="B18" s="24" t="str">
        <x:v>Rev.B原69题</x:v>
      </x:c>
      <x:c r="C18" s="24" t="str">
        <x:v>读题理解</x:v>
      </x:c>
      <x:c r="D18" s="24" t="str">
        <x:v>V14-P0-091</x:v>
      </x:c>
      <x:c r="E18" s="24" t="str">
        <x:v>3f97f749-deb5-4bf7-a14b-c2eb1b71c89f</x:v>
      </x:c>
      <x:c r="F18" s="24" t="str">
        <x:v>985156bc-c033-4911-8e92-46c984f7cb65</x:v>
      </x:c>
      <x:c r="G18" s="24" t="str">
        <x:v>V2 / shape-gallery</x:v>
      </x:c>
      <x:c r="H18" s="24" t="n">
        <x:v>1</x:v>
      </x:c>
      <x:c r="I18" s="24" t="str">
        <x:v>图形盘中有6张图形卡。请把所有“长方形”放进对应的家，再数数这一类一共有几张卡。</x:v>
      </x:c>
      <x:c r="J18" s="24" t="str">
        <x:v>辨认图形类别，把相同类型的图形归入同一组并计数。</x:v>
      </x:c>
      <x:c r="K18" s="24" t="str">
        <x:v>1</x:v>
      </x:c>
      <x:c r="L18" s="24" t="str">
        <x:v>按目标类别 rectangle 从6张卡的 kind 独立计数=1（需另审颜色/类别显示与无障碍）</x:v>
      </x:c>
      <x:c r="M18" s="24" t="str">
        <x:v>REVISION_REQUIRED</x:v>
      </x:c>
      <x:c r="N18" s="24" t="str">
        <x:v>题目主要考查数字/图形/数量操作，直接答对无法排除“会算但未理解语句”的混淆。</x:v>
      </x:c>
      <x:c r="O18" s="24" t="str">
        <x:v>尚无直接泄题的静态结论；需教研按四级提示逐句确认。</x:v>
      </x:c>
      <x:c r="P18" s="24" t="str">
        <x:v>保留图形筛选，但增设可区分“所有/恰好/不属于”等文字条件的可操作情境；同步ACCESS-01。</x:v>
      </x:c>
      <x:c r="Q18" s="24" t="str">
        <x:v>独立提取的关键条件、目标指向与行动顺序证据；只记录终答案不足以签读题理解。</x:v>
      </x:c>
      <x:c r="R18" s="24" t="str">
        <x:v>ABILITY_ALIGNMENT_READING_WEAK</x:v>
      </x:c>
      <x:c r="S18" s="24" t="str">
        <x:v>整改新版（旧 985156bc·shape_name_neutralize）</x:v>
      </x:c>
      <x:c r="T18" s="24" t="str">
        <x:v>PENDING</x:v>
      </x:c>
      <x:c r="U18" s="24" t="str"/>
      <x:c r="V18" s="24" t="str"/>
      <x:c r="W18" s="24" t="str"/>
    </x:row>
    <x:row r="19" ht="58" customHeight="1">
      <x:c r="A19" s="24" t="n">
        <x:v>18</x:v>
      </x:c>
      <x:c r="B19" s="24" t="str">
        <x:v>Rev.B原69题</x:v>
      </x:c>
      <x:c r="C19" s="24" t="str">
        <x:v>读题理解</x:v>
      </x:c>
      <x:c r="D19" s="24" t="str">
        <x:v>数字卡回家（V2 链 R06）</x:v>
      </x:c>
      <x:c r="E19" s="24" t="str">
        <x:v>9d0d3a7e-57f6-4602-ab4d-1ead6affb26e</x:v>
      </x:c>
      <x:c r="F19" s="24" t="str">
        <x:v>9d0d3a7e-57f6-4602-ab4d-1ead6affb26e</x:v>
      </x:c>
      <x:c r="G19" s="24" t="str">
        <x:v>V2 / place-value</x:v>
      </x:c>
      <x:c r="H19" s="24" t="n">
        <x:v>2</x:v>
      </x:c>
      <x:c r="I19" s="24" t="str">
        <x:v>数字卡 3、5、2 走丢了。把它们放回百、十、个的框里，组成 352。</x:v>
      </x:c>
      <x:c r="J19" s="24" t="str">
        <x:v>按数位把数字放到正确位置（位值结构感知）</x:v>
      </x:c>
      <x:c r="K19" s="24" t="str">
        <x:v>352</x:v>
      </x:c>
      <x:c r="L19" s="24" t="str">
        <x:v>数位卡目标数352；必须核对数字卡数位映射</x:v>
      </x:c>
      <x:c r="M19" s="24" t="str">
        <x:v>REVISION_REQUIRED</x:v>
      </x:c>
      <x:c r="N19" s="24" t="str">
        <x:v>题目主要考查数字/图形/数量操作，直接答对无法排除“会算但未理解语句”的混淆。</x:v>
      </x:c>
      <x:c r="O19" s="24" t="str">
        <x:v>尚无直接泄题的静态结论；需教研按四级提示逐句确认。</x:v>
      </x:c>
      <x:c r="P19" s="24" t="str">
        <x:v>当前主要考位值摆卡；增设包含相互约束的短文本，先让学生解释/选择位值条件，或改标位值能力。</x:v>
      </x:c>
      <x:c r="Q19" s="24" t="str">
        <x:v>独立提取的关键条件、目标指向与行动顺序证据；只记录终答案不足以签读题理解。</x:v>
      </x:c>
      <x:c r="R19" s="24" t="str">
        <x:v>ABILITY_ALIGNMENT_READING_WEAK</x:v>
      </x:c>
      <x:c r="S19" s="24" t="str">
        <x:v>原始未动</x:v>
      </x:c>
      <x:c r="T19" s="24" t="str">
        <x:v>PENDING</x:v>
      </x:c>
      <x:c r="U19" s="24" t="str"/>
      <x:c r="V19" s="24" t="str"/>
      <x:c r="W19" s="24" t="str"/>
    </x:row>
    <x:row r="20" ht="58" customHeight="1">
      <x:c r="A20" s="24" t="n">
        <x:v>19</x:v>
      </x:c>
      <x:c r="B20" s="24" t="str">
        <x:v>Rev.B原69题</x:v>
      </x:c>
      <x:c r="C20" s="24" t="str">
        <x:v>读题理解</x:v>
      </x:c>
      <x:c r="D20" s="24" t="str">
        <x:v>把数字卡从小到大排好</x:v>
      </x:c>
      <x:c r="E20" s="24" t="str">
        <x:v>6cf420db-b161-491a-99bd-5d08807bec66</x:v>
      </x:c>
      <x:c r="F20" s="24" t="str">
        <x:v>6cf420db-b161-491a-99bd-5d08807bec66</x:v>
      </x:c>
      <x:c r="G20" s="24" t="str">
        <x:v>V2 / sorting-board</x:v>
      </x:c>
      <x:c r="H20" s="24" t="n">
        <x:v>2</x:v>
      </x:c>
      <x:c r="I20" s="24" t="str">
        <x:v>桌上四张数字卡排得乱七八糟：7、1、4、2（卡片上的字有大有小，那是画的，别上当）。点两张卡把它们交换位置，把数字**从小到大**排好，答案按顺序写出这四个数字组成的数。</x:v>
      </x:c>
      <x:c r="J20" s="24" t="str">
        <x:v>按数值维度（非视觉大小）比较并排序</x:v>
      </x:c>
      <x:c r="K20" s="24" t="str">
        <x:v>1247</x:v>
      </x:c>
      <x:c r="L20" s="24" t="str">
        <x:v>卡片数值[7, 1, 4, 2]；排序后=1247（不按visual_rank）</x:v>
      </x:c>
      <x:c r="M20" s="24" t="str">
        <x:v>REVISION_REQUIRED</x:v>
      </x:c>
      <x:c r="N20" s="24" t="str">
        <x:v>题目主要考查数字/图形/数量操作，直接答对无法排除“会算但未理解语句”的混淆。</x:v>
      </x:c>
      <x:c r="O20" s="24" t="str">
        <x:v>L4为最终结果/具体卡片时需标记重度提示，不可作为独立掌握正证。</x:v>
      </x:c>
      <x:c r="P20" s="24" t="str">
        <x:v>当前“从小到大”基本是排序操作；如主张读题理解，应设计“从大到小/只交换奇数”等可区分指令理解情境。</x:v>
      </x:c>
      <x:c r="Q20" s="24" t="str">
        <x:v>独立提取的关键条件、目标指向与行动顺序证据；只记录终答案不足以签读题理解。</x:v>
      </x:c>
      <x:c r="R20" s="24" t="str">
        <x:v>ABILITY_ALIGNMENT_READING_WEAK</x:v>
      </x:c>
      <x:c r="S20" s="24" t="str">
        <x:v>原始未动</x:v>
      </x:c>
      <x:c r="T20" s="24" t="str">
        <x:v>PENDING</x:v>
      </x:c>
      <x:c r="U20" s="24" t="str"/>
      <x:c r="V20" s="24" t="str"/>
      <x:c r="W20" s="24" t="str"/>
    </x:row>
    <x:row r="21" ht="58" customHeight="1">
      <x:c r="A21" s="24" t="n">
        <x:v>20</x:v>
      </x:c>
      <x:c r="B21" s="24" t="str">
        <x:v>Rev.B原69题</x:v>
      </x:c>
      <x:c r="C21" s="24" t="str">
        <x:v>读题理解</x:v>
      </x:c>
      <x:c r="D21" s="24" t="str">
        <x:v>V14-P0-042</x:v>
      </x:c>
      <x:c r="E21" s="24" t="str">
        <x:v>6385e11e-3b06-42df-b8ed-80666ec64c65</x:v>
      </x:c>
      <x:c r="F21" s="24" t="str">
        <x:v>6385e11e-3b06-42df-b8ed-80666ec64c65</x:v>
      </x:c>
      <x:c r="G21" s="24" t="str">
        <x:v>V2 / ten-frame</x:v>
      </x:c>
      <x:c r="H21" s="24" t="n">
        <x:v>2</x:v>
      </x:c>
      <x:c r="I21" s="24" t="str">
        <x:v>第一格框里已有8个圆点，接着再放2个。请在十格框中摆出变化，最后填写一共有多少个圆点。</x:v>
      </x:c>
      <x:c r="J21" s="24" t="str">
        <x:v>利用十格框的五格/十格结构合并和清点圆点。</x:v>
      </x:c>
      <x:c r="K21" s="24" t="str">
        <x:v>10</x:v>
      </x:c>
      <x:c r="L21" s="24" t="str">
        <x:v>初始8，达到10，应添加2个</x:v>
      </x:c>
      <x:c r="M21" s="24" t="str">
        <x:v>REVISION_REQUIRED</x:v>
      </x:c>
      <x:c r="N21" s="24" t="str">
        <x:v>题目主要考查数字/图形/数量操作，直接答对无法排除“会算但未理解语句”的混淆。</x:v>
      </x:c>
      <x:c r="O21" s="24" t="str">
        <x:v>尚无直接泄题的静态结论；需教研按四级提示逐句确认。</x:v>
      </x:c>
      <x:c r="P21" s="24" t="str">
        <x:v>增加一个必须依据题干语义选择条件、对象或先后顺序的小步骤；必要时改归更贴近的数感/图形能力。</x:v>
      </x:c>
      <x:c r="Q21" s="24" t="str">
        <x:v>独立提取的关键条件、目标指向与行动顺序证据；只记录终答案不足以签读题理解。</x:v>
      </x:c>
      <x:c r="R21" s="24" t="str">
        <x:v>ABILITY_ALIGNMENT_READING_WEAK</x:v>
      </x:c>
      <x:c r="S21" s="24" t="str">
        <x:v>原始未动</x:v>
      </x:c>
      <x:c r="T21" s="24" t="str">
        <x:v>PENDING</x:v>
      </x:c>
      <x:c r="U21" s="24" t="str"/>
      <x:c r="V21" s="24" t="str"/>
      <x:c r="W21" s="24" t="str"/>
    </x:row>
    <x:row r="22" ht="58" customHeight="1">
      <x:c r="A22" s="24" t="n">
        <x:v>21</x:v>
      </x:c>
      <x:c r="B22" s="24" t="str">
        <x:v>Rev.B原69题</x:v>
      </x:c>
      <x:c r="C22" s="24" t="str">
        <x:v>读题理解</x:v>
      </x:c>
      <x:c r="D22" s="24" t="str">
        <x:v>V14-P0-002</x:v>
      </x:c>
      <x:c r="E22" s="24" t="str">
        <x:v>24a50da9-303b-41b0-9bb4-6c10797f7c70</x:v>
      </x:c>
      <x:c r="F22" s="24" t="str">
        <x:v>24a50da9-303b-41b0-9bb4-6c10797f7c70</x:v>
      </x:c>
      <x:c r="G22" s="24" t="str">
        <x:v>V2 / object-counter</x:v>
      </x:c>
      <x:c r="H22" s="24" t="n">
        <x:v>2</x:v>
      </x:c>
      <x:c r="I22" s="24" t="str">
        <x:v>桌上左边摆着3块积木，右边又摆了4块。请把两组积木放到数数区，数出一共有多少块。</x:v>
      </x:c>
      <x:c r="J22" s="24" t="str">
        <x:v>用分组摆放和逐个计数核对总量，区分已有量与增加量。</x:v>
      </x:c>
      <x:c r="K22" s="24" t="str">
        <x:v>7</x:v>
      </x:c>
      <x:c r="L22" s="24" t="str">
        <x:v>组数量[3, 4]合计=7</x:v>
      </x:c>
      <x:c r="M22" s="24" t="str">
        <x:v>REVISION_REQUIRED</x:v>
      </x:c>
      <x:c r="N22" s="24" t="str">
        <x:v>题目主要考查数字/图形/数量操作，直接答对无法排除“会算但未理解语句”的混淆。</x:v>
      </x:c>
      <x:c r="O22" s="24" t="str">
        <x:v>尚无直接泄题的静态结论；需教研按四级提示逐句确认。</x:v>
      </x:c>
      <x:c r="P22" s="24" t="str">
        <x:v>增加一个必须依据题干语义选择条件、对象或先后顺序的小步骤；必要时改归更贴近的数感/图形能力。</x:v>
      </x:c>
      <x:c r="Q22" s="24" t="str">
        <x:v>独立提取的关键条件、目标指向与行动顺序证据；只记录终答案不足以签读题理解。</x:v>
      </x:c>
      <x:c r="R22" s="24" t="str">
        <x:v>ABILITY_ALIGNMENT_READING_WEAK</x:v>
      </x:c>
      <x:c r="S22" s="24" t="str">
        <x:v>原始未动</x:v>
      </x:c>
      <x:c r="T22" s="24" t="str">
        <x:v>PENDING</x:v>
      </x:c>
      <x:c r="U22" s="24" t="str"/>
      <x:c r="V22" s="24" t="str"/>
      <x:c r="W22" s="24" t="str"/>
    </x:row>
    <x:row r="23" ht="58" customHeight="1">
      <x:c r="A23" s="24" t="n">
        <x:v>22</x:v>
      </x:c>
      <x:c r="B23" s="24" t="str">
        <x:v>Rev.B原69题</x:v>
      </x:c>
      <x:c r="C23" s="24" t="str">
        <x:v>读题理解</x:v>
      </x:c>
      <x:c r="D23" s="24" t="str">
        <x:v>V14-P0-037</x:v>
      </x:c>
      <x:c r="E23" s="24" t="str">
        <x:v>4936b35f-a5dc-44d4-9b2e-e58c6f3b7c0e</x:v>
      </x:c>
      <x:c r="F23" s="24" t="str">
        <x:v>4936b35f-a5dc-44d4-9b2e-e58c6f3b7c0e</x:v>
      </x:c>
      <x:c r="G23" s="24" t="str">
        <x:v>V2 / place-value</x:v>
      </x:c>
      <x:c r="H23" s="24" t="n">
        <x:v>2</x:v>
      </x:c>
      <x:c r="I23" s="24" t="str">
        <x:v>位值卡片[9, 2]已经准备好。请按“十位是9，个位是2”的要求拖到对应数位，再写出摆好的完整数字。</x:v>
      </x:c>
      <x:c r="J23" s="24" t="str">
        <x:v>正确把数字卡放入百十个位，并读写拼成的完整数。</x:v>
      </x:c>
      <x:c r="K23" s="24" t="str">
        <x:v>92</x:v>
      </x:c>
      <x:c r="L23" s="24" t="str">
        <x:v>数位卡目标数92；必须核对数字卡数位映射</x:v>
      </x:c>
      <x:c r="M23" s="24" t="str">
        <x:v>REVISION_REQUIRED</x:v>
      </x:c>
      <x:c r="N23" s="24" t="str">
        <x:v>题目主要考查数字/图形/数量操作，直接答对无法排除“会算但未理解语句”的混淆。</x:v>
      </x:c>
      <x:c r="O23" s="24" t="str">
        <x:v>尚无直接泄题的静态结论；需教研按四级提示逐句确认。</x:v>
      </x:c>
      <x:c r="P23" s="24" t="str">
        <x:v>当前主要考位值摆卡；增设包含相互约束的短文本，先让学生解释/选择位值条件，或改标位值能力。</x:v>
      </x:c>
      <x:c r="Q23" s="24" t="str">
        <x:v>独立提取的关键条件、目标指向与行动顺序证据；只记录终答案不足以签读题理解。</x:v>
      </x:c>
      <x:c r="R23" s="24" t="str">
        <x:v>ABILITY_ALIGNMENT_READING_WEAK</x:v>
      </x:c>
      <x:c r="S23" s="24" t="str">
        <x:v>原始未动</x:v>
      </x:c>
      <x:c r="T23" s="24" t="str">
        <x:v>PENDING</x:v>
      </x:c>
      <x:c r="U23" s="24" t="str"/>
      <x:c r="V23" s="24" t="str"/>
      <x:c r="W23" s="24" t="str"/>
    </x:row>
    <x:row r="24" ht="58" customHeight="1">
      <x:c r="A24" s="24" t="n">
        <x:v>23</x:v>
      </x:c>
      <x:c r="B24" s="24" t="str">
        <x:v>Rev.B原69题</x:v>
      </x:c>
      <x:c r="C24" s="24" t="str">
        <x:v>读题理解</x:v>
      </x:c>
      <x:c r="D24" s="24" t="str">
        <x:v>V14-P0-033</x:v>
      </x:c>
      <x:c r="E24" s="24" t="str">
        <x:v>cbcf5a5d-a88c-4463-b5ec-1aed74e17cce</x:v>
      </x:c>
      <x:c r="F24" s="24" t="str">
        <x:v>cbcf5a5d-a88c-4463-b5ec-1aed74e17cce</x:v>
      </x:c>
      <x:c r="G24" s="24" t="str">
        <x:v>V2 / place-value</x:v>
      </x:c>
      <x:c r="H24" s="24" t="n">
        <x:v>3</x:v>
      </x:c>
      <x:c r="I24" s="24" t="str">
        <x:v>位值卡片[4, 7]已经准备好。请按“十位是4，个位是7”的要求拖到对应数位，再写出摆好的完整数字。</x:v>
      </x:c>
      <x:c r="J24" s="24" t="str">
        <x:v>正确把数字卡放入百十个位，并读写拼成的完整数。</x:v>
      </x:c>
      <x:c r="K24" s="24" t="str">
        <x:v>47</x:v>
      </x:c>
      <x:c r="L24" s="24" t="str">
        <x:v>数位卡目标数47；必须核对数字卡数位映射</x:v>
      </x:c>
      <x:c r="M24" s="24" t="str">
        <x:v>REVISION_REQUIRED</x:v>
      </x:c>
      <x:c r="N24" s="24" t="str">
        <x:v>题目主要考查数字/图形/数量操作，直接答对无法排除“会算但未理解语句”的混淆。</x:v>
      </x:c>
      <x:c r="O24" s="24" t="str">
        <x:v>尚无直接泄题的静态结论；需教研按四级提示逐句确认。</x:v>
      </x:c>
      <x:c r="P24" s="24" t="str">
        <x:v>当前主要考位值摆卡；增设包含相互约束的短文本，先让学生解释/选择位值条件，或改标位值能力。</x:v>
      </x:c>
      <x:c r="Q24" s="24" t="str">
        <x:v>独立提取的关键条件、目标指向与行动顺序证据；只记录终答案不足以签读题理解。</x:v>
      </x:c>
      <x:c r="R24" s="24" t="str">
        <x:v>ABILITY_ALIGNMENT_READING_WEAK</x:v>
      </x:c>
      <x:c r="S24" s="24" t="str">
        <x:v>原始未动</x:v>
      </x:c>
      <x:c r="T24" s="24" t="str">
        <x:v>PENDING</x:v>
      </x:c>
      <x:c r="U24" s="24" t="str"/>
      <x:c r="V24" s="24" t="str"/>
      <x:c r="W24" s="24" t="str"/>
    </x:row>
    <x:row r="25" ht="58" customHeight="1">
      <x:c r="A25" s="24" t="n">
        <x:v>24</x:v>
      </x:c>
      <x:c r="B25" s="24" t="str">
        <x:v>Rev.B原69题</x:v>
      </x:c>
      <x:c r="C25" s="24" t="str">
        <x:v>读题理解</x:v>
      </x:c>
      <x:c r="D25" s="24" t="str">
        <x:v>V14-P0-093</x:v>
      </x:c>
      <x:c r="E25" s="24" t="str">
        <x:v>fb895a6f-12c0-4d1d-987e-ffab90d31989</x:v>
      </x:c>
      <x:c r="F25" s="24" t="str">
        <x:v>86672e3b-3678-4874-8d7c-5f588c8bb398</x:v>
      </x:c>
      <x:c r="G25" s="24" t="str">
        <x:v>V2 / shape-gallery</x:v>
      </x:c>
      <x:c r="H25" s="24" t="n">
        <x:v>3</x:v>
      </x:c>
      <x:c r="I25" s="24" t="str">
        <x:v>图形盘中有6张图形卡。请把所有“正方形”放进对应的家，再数数这一类一共有几张卡。</x:v>
      </x:c>
      <x:c r="J25" s="24" t="str">
        <x:v>辨认图形类别，把相同类型的图形归入同一组并计数。</x:v>
      </x:c>
      <x:c r="K25" s="24" t="str">
        <x:v>2</x:v>
      </x:c>
      <x:c r="L25" s="24" t="str">
        <x:v>按目标类别 square 从6张卡的 kind 独立计数=2（需另审颜色/类别显示与无障碍）</x:v>
      </x:c>
      <x:c r="M25" s="24" t="str">
        <x:v>REVISION_REQUIRED</x:v>
      </x:c>
      <x:c r="N25" s="24" t="str">
        <x:v>题目主要考查数字/图形/数量操作，直接答对无法排除“会算但未理解语句”的混淆。</x:v>
      </x:c>
      <x:c r="O25" s="24" t="str">
        <x:v>尚无直接泄题的静态结论；需教研按四级提示逐句确认。</x:v>
      </x:c>
      <x:c r="P25" s="24" t="str">
        <x:v>保留图形筛选，但增设可区分“所有/恰好/不属于”等文字条件的可操作情境；同步ACCESS-01。</x:v>
      </x:c>
      <x:c r="Q25" s="24" t="str">
        <x:v>独立提取的关键条件、目标指向与行动顺序证据；只记录终答案不足以签读题理解。</x:v>
      </x:c>
      <x:c r="R25" s="24" t="str">
        <x:v>ABILITY_ALIGNMENT_READING_WEAK</x:v>
      </x:c>
      <x:c r="S25" s="24" t="str">
        <x:v>整改新版（旧 86672e3b·shape_name_neutralize）</x:v>
      </x:c>
      <x:c r="T25" s="24" t="str">
        <x:v>PENDING</x:v>
      </x:c>
      <x:c r="U25" s="24" t="str"/>
      <x:c r="V25" s="24" t="str"/>
      <x:c r="W25" s="24" t="str"/>
    </x:row>
    <x:row r="26" ht="58" customHeight="1">
      <x:c r="A26" s="24" t="n">
        <x:v>25</x:v>
      </x:c>
      <x:c r="B26" s="24" t="str">
        <x:v>Rev.B原69题</x:v>
      </x:c>
      <x:c r="C26" s="24" t="str">
        <x:v>读题理解</x:v>
      </x:c>
      <x:c r="D26" s="24" t="str">
        <x:v>V14-P0-039</x:v>
      </x:c>
      <x:c r="E26" s="24" t="str">
        <x:v>e1393f3d-2a02-4eba-b02e-5be1ee9b6a54</x:v>
      </x:c>
      <x:c r="F26" s="24" t="str">
        <x:v>e1393f3d-2a02-4eba-b02e-5be1ee9b6a54</x:v>
      </x:c>
      <x:c r="G26" s="24" t="str">
        <x:v>V2 / place-value</x:v>
      </x:c>
      <x:c r="H26" s="24" t="n">
        <x:v>4</x:v>
      </x:c>
      <x:c r="I26" s="24" t="str">
        <x:v>位值卡片[5, 8]已经准备好。请按“十位是5，个位是8”的要求拖到对应数位，再写出摆好的完整数字。</x:v>
      </x:c>
      <x:c r="J26" s="24" t="str">
        <x:v>正确把数字卡放入百十个位，并读写拼成的完整数。</x:v>
      </x:c>
      <x:c r="K26" s="24" t="str">
        <x:v>58</x:v>
      </x:c>
      <x:c r="L26" s="24" t="str">
        <x:v>数位卡目标数58；必须核对数字卡数位映射</x:v>
      </x:c>
      <x:c r="M26" s="24" t="str">
        <x:v>REVISION_REQUIRED</x:v>
      </x:c>
      <x:c r="N26" s="24" t="str">
        <x:v>题目主要考查数字/图形/数量操作，直接答对无法排除“会算但未理解语句”的混淆。</x:v>
      </x:c>
      <x:c r="O26" s="24" t="str">
        <x:v>尚无直接泄题的静态结论；需教研按四级提示逐句确认。</x:v>
      </x:c>
      <x:c r="P26" s="24" t="str">
        <x:v>当前主要考位值摆卡；增设包含相互约束的短文本，先让学生解释/选择位值条件，或改标位值能力。</x:v>
      </x:c>
      <x:c r="Q26" s="24" t="str">
        <x:v>独立提取的关键条件、目标指向与行动顺序证据；只记录终答案不足以签读题理解。</x:v>
      </x:c>
      <x:c r="R26" s="24" t="str">
        <x:v>ABILITY_ALIGNMENT_READING_WEAK</x:v>
      </x:c>
      <x:c r="S26" s="24" t="str">
        <x:v>原始未动</x:v>
      </x:c>
      <x:c r="T26" s="24" t="str">
        <x:v>PENDING</x:v>
      </x:c>
      <x:c r="U26" s="24" t="str"/>
      <x:c r="V26" s="24" t="str"/>
      <x:c r="W26" s="24" t="str"/>
    </x:row>
    <x:row r="27" ht="58" customHeight="1">
      <x:c r="A27" s="24" t="n">
        <x:v>26</x:v>
      </x:c>
      <x:c r="B27" s="24" t="str">
        <x:v>Rev.B原69题</x:v>
      </x:c>
      <x:c r="C27" s="24" t="str">
        <x:v>读题理解</x:v>
      </x:c>
      <x:c r="D27" s="24" t="str">
        <x:v>V14-P0-104</x:v>
      </x:c>
      <x:c r="E27" s="24" t="str">
        <x:v>be433fc9-af29-41dc-88c2-7d0a5d110459</x:v>
      </x:c>
      <x:c r="F27" s="24" t="str">
        <x:v>be433fc9-af29-41dc-88c2-7d0a5d110459</x:v>
      </x:c>
      <x:c r="G27" s="24" t="str">
        <x:v>V2 / shape-canvas</x:v>
      </x:c>
      <x:c r="H27" s="24" t="n">
        <x:v>4</x:v>
      </x:c>
      <x:c r="I27" s="24" t="str">
        <x:v>在5×5方格纸上画一个长2格、宽2格的长方形，四边落在格线上。请数格或计算它的面积是多少平方格。</x:v>
      </x:c>
      <x:c r="J27" s="24" t="str">
        <x:v>在点阵网格内画出指定长宽的长方形，并验证面积等于长乘宽。</x:v>
      </x:c>
      <x:c r="K27" s="24" t="str">
        <x:v>4</x:v>
      </x:c>
      <x:c r="L27" s="24" t="str">
        <x:v>底边2×高2=4，图形类别用语另核</x:v>
      </x:c>
      <x:c r="M27" s="24" t="str">
        <x:v>REVISION_REQUIRED</x:v>
      </x:c>
      <x:c r="N27" s="24" t="str">
        <x:v>题目主要考查数字/图形/数量操作，直接答对无法排除“会算但未理解语句”的混淆。</x:v>
      </x:c>
      <x:c r="O27" s="24" t="str">
        <x:v>尚无直接泄题的静态结论；需教研按四级提示逐句确认。</x:v>
      </x:c>
      <x:c r="P27" s="24" t="str">
        <x:v>此题实质是画指定图形并计算面积；如不补文本条件理解任务，应转图形/建模能力，且教研确认二年级适龄性。</x:v>
      </x:c>
      <x:c r="Q27" s="24" t="str">
        <x:v>独立提取的关键条件、目标指向与行动顺序证据；只记录终答案不足以签读题理解。</x:v>
      </x:c>
      <x:c r="R27" s="24" t="str">
        <x:v>READING_WEAK_GEOMETRY_SQUARE</x:v>
      </x:c>
      <x:c r="S27" s="24" t="str">
        <x:v>原始未动</x:v>
      </x:c>
      <x:c r="T27" s="24" t="str">
        <x:v>PENDING</x:v>
      </x:c>
      <x:c r="U27" s="24" t="str"/>
      <x:c r="V27" s="24" t="str"/>
      <x:c r="W27" s="24" t="str"/>
    </x:row>
    <x:row r="28" ht="58" customHeight="1">
      <x:c r="A28" s="24" t="n">
        <x:v>27</x:v>
      </x:c>
      <x:c r="B28" s="24" t="str">
        <x:v>Rev.B原69题</x:v>
      </x:c>
      <x:c r="C28" s="24" t="str">
        <x:v>读题理解</x:v>
      </x:c>
      <x:c r="D28" s="24" t="str">
        <x:v>V14-P0-089</x:v>
      </x:c>
      <x:c r="E28" s="24" t="str">
        <x:v>c2050d65-f7e8-4a6a-983e-978712174a84</x:v>
      </x:c>
      <x:c r="F28" s="24" t="str">
        <x:v>df5c3a8b-1119-4624-ae7e-4997f9a9eef9</x:v>
      </x:c>
      <x:c r="G28" s="24" t="str">
        <x:v>V2 / shape-gallery</x:v>
      </x:c>
      <x:c r="H28" s="24" t="n">
        <x:v>4</x:v>
      </x:c>
      <x:c r="I28" s="24" t="str">
        <x:v>图形盘中有6张图形卡。请把所有“三角形”放进对应的家，再数数这一类一共有几张卡。</x:v>
      </x:c>
      <x:c r="J28" s="24" t="str">
        <x:v>辨认图形类别，把相同类型的图形归入同一组并计数。</x:v>
      </x:c>
      <x:c r="K28" s="24" t="str">
        <x:v>2</x:v>
      </x:c>
      <x:c r="L28" s="24" t="str">
        <x:v>按目标类别 triangle 从6张卡的 kind 独立计数=2（需另审颜色/类别显示与无障碍）</x:v>
      </x:c>
      <x:c r="M28" s="24" t="str">
        <x:v>REVISION_REQUIRED</x:v>
      </x:c>
      <x:c r="N28" s="24" t="str">
        <x:v>题目主要考查数字/图形/数量操作，直接答对无法排除“会算但未理解语句”的混淆。</x:v>
      </x:c>
      <x:c r="O28" s="24" t="str">
        <x:v>尚无直接泄题的静态结论；需教研按四级提示逐句确认。</x:v>
      </x:c>
      <x:c r="P28" s="24" t="str">
        <x:v>保留图形筛选，但增设可区分“所有/恰好/不属于”等文字条件的可操作情境；同步ACCESS-01。</x:v>
      </x:c>
      <x:c r="Q28" s="24" t="str">
        <x:v>独立提取的关键条件、目标指向与行动顺序证据；只记录终答案不足以签读题理解。</x:v>
      </x:c>
      <x:c r="R28" s="24" t="str">
        <x:v>ABILITY_ALIGNMENT_READING_WEAK</x:v>
      </x:c>
      <x:c r="S28" s="24" t="str">
        <x:v>整改新版（旧 df5c3a8b·shape_name_neutralize）</x:v>
      </x:c>
      <x:c r="T28" s="24" t="str">
        <x:v>PENDING</x:v>
      </x:c>
      <x:c r="U28" s="24" t="str"/>
      <x:c r="V28" s="24" t="str"/>
      <x:c r="W28" s="24" t="str"/>
    </x:row>
    <x:row r="29" ht="58" customHeight="1">
      <x:c r="A29" s="24" t="n">
        <x:v>28</x:v>
      </x:c>
      <x:c r="B29" s="24" t="str">
        <x:v>Rev.B原69题</x:v>
      </x:c>
      <x:c r="C29" s="24" t="str">
        <x:v>读题理解</x:v>
      </x:c>
      <x:c r="D29" s="24" t="str">
        <x:v>V14-P0-035</x:v>
      </x:c>
      <x:c r="E29" s="24" t="str">
        <x:v>11aca9c8-067a-48e6-945e-959a20ce83f5</x:v>
      </x:c>
      <x:c r="F29" s="24" t="str">
        <x:v>11aca9c8-067a-48e6-945e-959a20ce83f5</x:v>
      </x:c>
      <x:c r="G29" s="24" t="str">
        <x:v>V2 / place-value</x:v>
      </x:c>
      <x:c r="H29" s="24" t="n">
        <x:v>5</x:v>
      </x:c>
      <x:c r="I29" s="24" t="str">
        <x:v>位值卡片[8, 0]已经准备好。请按“十位是8，个位是0”的要求拖到对应数位，再写出摆好的完整数字。</x:v>
      </x:c>
      <x:c r="J29" s="24" t="str">
        <x:v>正确把数字卡放入百十个位，并读写拼成的完整数。</x:v>
      </x:c>
      <x:c r="K29" s="24" t="str">
        <x:v>80</x:v>
      </x:c>
      <x:c r="L29" s="24" t="str">
        <x:v>数位卡目标数80；必须核对数字卡数位映射</x:v>
      </x:c>
      <x:c r="M29" s="24" t="str">
        <x:v>REVISION_REQUIRED</x:v>
      </x:c>
      <x:c r="N29" s="24" t="str">
        <x:v>题目主要考查数字/图形/数量操作，直接答对无法排除“会算但未理解语句”的混淆。</x:v>
      </x:c>
      <x:c r="O29" s="24" t="str">
        <x:v>尚无直接泄题的静态结论；需教研按四级提示逐句确认。</x:v>
      </x:c>
      <x:c r="P29" s="24" t="str">
        <x:v>当前主要考位值摆卡；增设包含相互约束的短文本，先让学生解释/选择位值条件，或改标位值能力。</x:v>
      </x:c>
      <x:c r="Q29" s="24" t="str">
        <x:v>独立提取的关键条件、目标指向与行动顺序证据；只记录终答案不足以签读题理解。</x:v>
      </x:c>
      <x:c r="R29" s="24" t="str">
        <x:v>ABILITY_ALIGNMENT_READING_WEAK</x:v>
      </x:c>
      <x:c r="S29" s="24" t="str">
        <x:v>原始未动</x:v>
      </x:c>
      <x:c r="T29" s="24" t="str">
        <x:v>PENDING</x:v>
      </x:c>
      <x:c r="U29" s="24" t="str"/>
      <x:c r="V29" s="24" t="str"/>
      <x:c r="W29" s="24" t="str"/>
    </x:row>
    <x:row r="30" ht="58" customHeight="1">
      <x:c r="A30" s="24" t="n">
        <x:v>29</x:v>
      </x:c>
      <x:c r="B30" s="24" t="str">
        <x:v>Rev.B原69题</x:v>
      </x:c>
      <x:c r="C30" s="24" t="str">
        <x:v>读题理解</x:v>
      </x:c>
      <x:c r="D30" s="24" t="str">
        <x:v>V14-P0-025</x:v>
      </x:c>
      <x:c r="E30" s="24" t="str">
        <x:v>103b0e3f-4287-469c-96ec-6a173e84a4f5</x:v>
      </x:c>
      <x:c r="F30" s="24" t="str">
        <x:v>103b0e3f-4287-469c-96ec-6a173e84a4f5</x:v>
      </x:c>
      <x:c r="G30" s="24" t="str">
        <x:v>V2 / number-input</x:v>
      </x:c>
      <x:c r="H30" s="24" t="n">
        <x:v>5</x:v>
      </x:c>
      <x:c r="I30" s="24" t="str">
        <x:v>47写成“4个十和几个一”？</x:v>
      </x:c>
      <x:c r="J30" s="24" t="str">
        <x:v>读懂题目中的数量关系，独立输入确定的数值结果。</x:v>
      </x:c>
      <x:c r="K30" s="24" t="str">
        <x:v>7</x:v>
      </x:c>
      <x:c r="L30" s="24" t="str">
        <x:v>沿用Rev.A数学核对依据；本轮未针对该题建立新的独立数学推导</x:v>
      </x:c>
      <x:c r="M30" s="24" t="str">
        <x:v>REVISION_REQUIRED</x:v>
      </x:c>
      <x:c r="N30" s="24" t="str">
        <x:v>题目主要考查数字/图形/数量操作，直接答对无法排除“会算但未理解语句”的混淆。</x:v>
      </x:c>
      <x:c r="O30" s="24" t="str">
        <x:v>尚无直接泄题的静态结论；需教研按四级提示逐句确认。</x:v>
      </x:c>
      <x:c r="P30" s="24" t="str">
        <x:v>单数位分解题可用作数感练习；若计入读题理解，增加需从两句信息中确定所求数位的独立检查。</x:v>
      </x:c>
      <x:c r="Q30" s="24" t="str">
        <x:v>独立提取的关键条件、目标指向与行动顺序证据；只记录终答案不足以签读题理解。</x:v>
      </x:c>
      <x:c r="R30" s="24" t="str">
        <x:v>ABILITY_ALIGNMENT_READING_WEAK</x:v>
      </x:c>
      <x:c r="S30" s="24" t="str">
        <x:v>原始未动</x:v>
      </x:c>
      <x:c r="T30" s="24" t="str">
        <x:v>PENDING</x:v>
      </x:c>
      <x:c r="U30" s="24" t="str"/>
      <x:c r="V30" s="24" t="str"/>
      <x:c r="W30" s="24" t="str"/>
    </x:row>
    <x:row r="31" ht="58" customHeight="1">
      <x:c r="A31" s="24" t="n">
        <x:v>30</x:v>
      </x:c>
      <x:c r="B31" s="24" t="str">
        <x:v>Rev.B原69题</x:v>
      </x:c>
      <x:c r="C31" s="24" t="str">
        <x:v>读题理解</x:v>
      </x:c>
      <x:c r="D31" s="24" t="str">
        <x:v>V14-P0-100</x:v>
      </x:c>
      <x:c r="E31" s="24" t="str">
        <x:v>a21d4278-9780-453c-a510-08ce184f764e</x:v>
      </x:c>
      <x:c r="F31" s="24" t="str">
        <x:v>a21d4278-9780-453c-a510-08ce184f764e</x:v>
      </x:c>
      <x:c r="G31" s="24" t="str">
        <x:v>V2 / shape-canvas</x:v>
      </x:c>
      <x:c r="H31" s="24" t="n">
        <x:v>5</x:v>
      </x:c>
      <x:c r="I31" s="24" t="str">
        <x:v>在5×5方格纸上画一个长4格、宽2格的长方形，四边落在格线上。请数格或计算它的面积是多少平方格。</x:v>
      </x:c>
      <x:c r="J31" s="24" t="str">
        <x:v>在点阵网格内画出指定长宽的长方形，并验证面积等于长乘宽。</x:v>
      </x:c>
      <x:c r="K31" s="24" t="str">
        <x:v>8</x:v>
      </x:c>
      <x:c r="L31" s="24" t="str">
        <x:v>底边4×高2=8，图形类别用语另核</x:v>
      </x:c>
      <x:c r="M31" s="24" t="str">
        <x:v>REVISION_REQUIRED</x:v>
      </x:c>
      <x:c r="N31" s="24" t="str">
        <x:v>题目主要考查数字/图形/数量操作，直接答对无法排除“会算但未理解语句”的混淆。</x:v>
      </x:c>
      <x:c r="O31" s="24" t="str">
        <x:v>尚无直接泄题的静态结论；需教研按四级提示逐句确认。</x:v>
      </x:c>
      <x:c r="P31" s="24" t="str">
        <x:v>此题实质是画指定图形并计算面积；如不补文本条件理解任务，应转图形/建模能力，且教研确认二年级适龄性。</x:v>
      </x:c>
      <x:c r="Q31" s="24" t="str">
        <x:v>独立提取的关键条件、目标指向与行动顺序证据；只记录终答案不足以签读题理解。</x:v>
      </x:c>
      <x:c r="R31" s="24" t="str">
        <x:v>READING_WEAK_GEOMETRY_SQUARE</x:v>
      </x:c>
      <x:c r="S31" s="24" t="str">
        <x:v>原始未动</x:v>
      </x:c>
      <x:c r="T31" s="24" t="str">
        <x:v>PENDING</x:v>
      </x:c>
      <x:c r="U31" s="24" t="str"/>
      <x:c r="V31" s="24" t="str"/>
      <x:c r="W31" s="24" t="str"/>
    </x:row>
    <x:row r="32" ht="58" customHeight="1">
      <x:c r="A32" s="24" t="n">
        <x:v>31</x:v>
      </x:c>
      <x:c r="B32" s="24" t="str">
        <x:v>Rev.B原69题</x:v>
      </x:c>
      <x:c r="C32" s="24" t="str">
        <x:v>读题理解</x:v>
      </x:c>
      <x:c r="D32" s="24" t="str">
        <x:v>V14-P0-095</x:v>
      </x:c>
      <x:c r="E32" s="24" t="str">
        <x:v>e3c2ebe4-57eb-4811-8b5f-80b67aa199dd</x:v>
      </x:c>
      <x:c r="F32" s="24" t="str">
        <x:v>7a168c3c-0342-43b4-9651-445b54e82375</x:v>
      </x:c>
      <x:c r="G32" s="24" t="str">
        <x:v>V2 / shape-gallery</x:v>
      </x:c>
      <x:c r="H32" s="24" t="n">
        <x:v>5</x:v>
      </x:c>
      <x:c r="I32" s="24" t="str">
        <x:v>图形盘中有6张图形卡。请把所有“长方形”放进对应的家，再数数这一类一共有几张卡。</x:v>
      </x:c>
      <x:c r="J32" s="24" t="str">
        <x:v>辨认图形类别，把相同类型的图形归入同一组并计数。</x:v>
      </x:c>
      <x:c r="K32" s="24" t="str">
        <x:v>1</x:v>
      </x:c>
      <x:c r="L32" s="24" t="str">
        <x:v>按目标类别 rectangle 从6张卡的 kind 独立计数=1（需另审颜色/类别显示与无障碍）</x:v>
      </x:c>
      <x:c r="M32" s="24" t="str">
        <x:v>REVISION_REQUIRED</x:v>
      </x:c>
      <x:c r="N32" s="24" t="str">
        <x:v>题目主要考查数字/图形/数量操作，直接答对无法排除“会算但未理解语句”的混淆。</x:v>
      </x:c>
      <x:c r="O32" s="24" t="str">
        <x:v>尚无直接泄题的静态结论；需教研按四级提示逐句确认。</x:v>
      </x:c>
      <x:c r="P32" s="24" t="str">
        <x:v>保留图形筛选，但增设可区分“所有/恰好/不属于”等文字条件的可操作情境；同步ACCESS-01。</x:v>
      </x:c>
      <x:c r="Q32" s="24" t="str">
        <x:v>独立提取的关键条件、目标指向与行动顺序证据；只记录终答案不足以签读题理解。</x:v>
      </x:c>
      <x:c r="R32" s="24" t="str">
        <x:v>ABILITY_ALIGNMENT_READING_WEAK</x:v>
      </x:c>
      <x:c r="S32" s="24" t="str">
        <x:v>整改新版（旧 7a168c3c·shape_name_neutralize）</x:v>
      </x:c>
      <x:c r="T32" s="24" t="str">
        <x:v>PENDING</x:v>
      </x:c>
      <x:c r="U32" s="24" t="str"/>
      <x:c r="V32" s="24" t="str"/>
      <x:c r="W32" s="24" t="str"/>
    </x:row>
    <x:row r="33" ht="58" customHeight="1">
      <x:c r="A33" s="24" t="n">
        <x:v>32</x:v>
      </x:c>
      <x:c r="B33" s="24" t="str">
        <x:v>Rev.B原69题</x:v>
      </x:c>
      <x:c r="C33" s="24" t="str">
        <x:v>数量关系</x:v>
      </x:c>
      <x:c r="D33" s="24" t="str">
        <x:v>花边接着摆</x:v>
      </x:c>
      <x:c r="E33" s="24" t="str">
        <x:v>1723d78a-44c9-419d-82d4-7a9f6a48520a</x:v>
      </x:c>
      <x:c r="F33" s="24" t="str">
        <x:v>1723d78a-44c9-419d-82d4-7a9f6a48520a</x:v>
      </x:c>
      <x:c r="G33" s="24" t="str">
        <x:v>V2 / pattern-board</x:v>
      </x:c>
      <x:c r="H33" s="24" t="n">
        <x:v>1</x:v>
      </x:c>
      <x:c r="I33" s="24" t="str">
        <x:v>联欢会的花边是按规律串的：**黄、蓝、黄、蓝**……后面还缺 2 颗珠子。看看它是怎么**轮流**排的，从调色板点颜色把空格补上（点已放的珠子可以抠掉重放）。答案把后 2 颗按顺序写成一个两位数：黄=1，蓝=2（例：先黄后蓝=12）。</x:v>
      </x:c>
      <x:c r="J33" s="24" t="str">
        <x:v>识别 AB 交替周期并延续到后续空位</x:v>
      </x:c>
      <x:c r="K33" s="24" t="str">
        <x:v>12</x:v>
      </x:c>
      <x:c r="L33" s="24" t="str">
        <x:v>周期[1, 2, 1, 2]；后2格按规则填=12</x:v>
      </x:c>
      <x:c r="M33" s="24" t="str">
        <x:v>APPROVED_CANDIDATE</x:v>
      </x:c>
      <x:c r="N33" s="24" t="str">
        <x:v>ABAB交替规律及其后两位的关系可被直接观察，适合数量/模式关系的初步测量。</x:v>
      </x:c>
      <x:c r="O33" s="24" t="str">
        <x:v>L4为最终结果/具体卡片时需标记重度提示，不可作为独立掌握正证。</x:v>
      </x:c>
      <x:c r="P33" s="24" t="str">
        <x:v>L4直接给出“答案12”属于高强度示范，应确认不计入独立掌握证据，并优先改成逐格自检提示。</x:v>
      </x:c>
      <x:c r="Q33" s="24" t="str">
        <x:v>原有周期辨认、两格填充顺序、提示等级对独立性影响。</x:v>
      </x:c>
      <x:c r="R33" s="24" t="str">
        <x:v>PATTERN_ANSWER_ENCODING</x:v>
      </x:c>
      <x:c r="S33" s="24" t="str">
        <x:v>原始未动</x:v>
      </x:c>
      <x:c r="T33" s="24" t="str">
        <x:v>PENDING</x:v>
      </x:c>
      <x:c r="U33" s="24" t="str"/>
      <x:c r="V33" s="24" t="str"/>
      <x:c r="W33" s="24" t="str"/>
    </x:row>
    <x:row r="34" ht="58" customHeight="1">
      <x:c r="A34" s="24" t="n">
        <x:v>33</x:v>
      </x:c>
      <x:c r="B34" s="24" t="str">
        <x:v>Rev.B原69题</x:v>
      </x:c>
      <x:c r="C34" s="24" t="str">
        <x:v>数量关系</x:v>
      </x:c>
      <x:c r="D34" s="24" t="str">
        <x:v>三组一样多</x:v>
      </x:c>
      <x:c r="E34" s="24" t="str">
        <x:v>5bceb172-2b67-4421-99b2-175ec05b94e9</x:v>
      </x:c>
      <x:c r="F34" s="24" t="str">
        <x:v>1ab893bf-b293-41bb-8514-310a8b832c3e</x:v>
      </x:c>
      <x:c r="G34" s="24" t="str">
        <x:v>V1 / number-line</x:v>
      </x:c>
      <x:c r="H34" s="24" t="n">
        <x:v>3</x:v>
      </x:c>
      <x:c r="I34" s="24" t="str">
        <x:v>有3个相同的小袋子，每个袋子里有7颗玻璃珠。3个袋子一共有多少颗玻璃珠？</x:v>
      </x:c>
      <x:c r="J34" s="24" t="str">
        <x:v>理解多个相同数量组的总量关系</x:v>
      </x:c>
      <x:c r="K34" s="24" t="str">
        <x:v>21</x:v>
      </x:c>
      <x:c r="L34" s="24" t="str">
        <x:v>沿用Rev.A数学核对依据；本轮未针对该题建立新的独立数学推导</x:v>
      </x:c>
      <x:c r="M34" s="24" t="str">
        <x:v>REVISION_REQUIRED</x:v>
      </x:c>
      <x:c r="N34" s="24" t="str">
        <x:v>新版本已把数轴起点由3改为0，正确操作0→7→14→21可达；但V1仅终点判分，未单独验证“三次各7”的过程。</x:v>
      </x:c>
      <x:c r="O34" s="24" t="str">
        <x:v>尚无直接泄题的静态结论；需教研按四级提示逐句确认。</x:v>
      </x:c>
      <x:c r="P34" s="24" t="str">
        <x:v>维持start=0新版本；若以等量组表征为掌握证据，增加轨迹校验或跨操作的组数/每组量表示。</x:v>
      </x:c>
      <x:c r="Q34" s="24" t="str">
        <x:v>独立3次+7轨迹、最终21与组数/组量关系；静态答案正确不等于过程通过。</x:v>
      </x:c>
      <x:c r="R34" s="24" t="str">
        <x:v>V1_GROUP_NUMBERLINE_START_CONFLICT</x:v>
      </x:c>
      <x:c r="S34" s="24" t="str">
        <x:v>Rev.B 起点修复版（旧 1ab893bf·published）</x:v>
      </x:c>
      <x:c r="T34" s="24" t="str">
        <x:v>PENDING</x:v>
      </x:c>
      <x:c r="U34" s="24" t="str"/>
      <x:c r="V34" s="24" t="str"/>
      <x:c r="W34" s="24" t="str"/>
    </x:row>
    <x:row r="35" ht="58" customHeight="1">
      <x:c r="A35" s="24" t="n">
        <x:v>34</x:v>
      </x:c>
      <x:c r="B35" s="24" t="str">
        <x:v>Rev.B原69题</x:v>
      </x:c>
      <x:c r="C35" s="24" t="str">
        <x:v>策略选择</x:v>
      </x:c>
      <x:c r="D35" s="24" t="str">
        <x:v>来了以后怎么求</x:v>
      </x:c>
      <x:c r="E35" s="24" t="str">
        <x:v>0176dc73-eb37-417f-add4-e9e97e058b0a</x:v>
      </x:c>
      <x:c r="F35" s="24" t="str">
        <x:v>0176dc73-eb37-417f-add4-e9e97e058b0a</x:v>
      </x:c>
      <x:c r="G35" s="24" t="str">
        <x:v>V1 / number-line</x:v>
      </x:c>
      <x:c r="H35" s="24" t="n">
        <x:v>1</x:v>
      </x:c>
      <x:c r="I35" s="24" t="str">
        <x:v>小明有5支铅笔，妈妈又给了他3支。现在小明有多少支铅笔？</x:v>
      </x:c>
      <x:c r="J35" s="24" t="str">
        <x:v>能根据“数量增加”选择加法策略</x:v>
      </x:c>
      <x:c r="K35" s="24" t="str">
        <x:v>8</x:v>
      </x:c>
      <x:c r="L35" s="24" t="str">
        <x:v>沿用Rev.A数学核对依据；本轮未针对该题建立新的独立数学推导</x:v>
      </x:c>
      <x:c r="M35" s="24" t="str">
        <x:v>REVISION_REQUIRED</x:v>
      </x:c>
      <x:c r="N35" s="24" t="str">
        <x:v>最终答案或简单操作能证明算式结果，不足以独立证明孩子选择过哪种解题策略。</x:v>
      </x:c>
      <x:c r="O35" s="24" t="str">
        <x:v>尚无直接泄题的静态结论；需教研按四级提示逐句确认。</x:v>
      </x:c>
      <x:c r="P35" s="24" t="str">
        <x:v>让孩子先在“加/减/比较/逆向”选策略，再操作图形并作答；新增策略动作不能仅由最终数字反推。</x:v>
      </x:c>
      <x:c r="Q35" s="24" t="str">
        <x:v>策略选择动作、选择依据及解题结果之间的对应关系，不得用终值代替策略证据。</x:v>
      </x:c>
      <x:c r="R35" s="24" t="str">
        <x:v>ABILITY_EVIDENCE_STRATEGY_WEAK</x:v>
      </x:c>
      <x:c r="S35" s="24" t="str">
        <x:v>原始未动</x:v>
      </x:c>
      <x:c r="T35" s="24" t="str">
        <x:v>PENDING</x:v>
      </x:c>
      <x:c r="U35" s="24" t="str"/>
      <x:c r="V35" s="24" t="str"/>
      <x:c r="W35" s="24" t="str"/>
    </x:row>
    <x:row r="36" ht="58" customHeight="1">
      <x:c r="A36" s="24" t="n">
        <x:v>35</x:v>
      </x:c>
      <x:c r="B36" s="24" t="str">
        <x:v>Rev.B原69题</x:v>
      </x:c>
      <x:c r="C36" s="24" t="str">
        <x:v>策略选择</x:v>
      </x:c>
      <x:c r="D36" s="24" t="str">
        <x:v>吃掉以后怎么求</x:v>
      </x:c>
      <x:c r="E36" s="24" t="str">
        <x:v>dc1f2a1c-b719-45f7-95b5-d30cdb42b070</x:v>
      </x:c>
      <x:c r="F36" s="24" t="str">
        <x:v>dc1f2a1c-b719-45f7-95b5-d30cdb42b070</x:v>
      </x:c>
      <x:c r="G36" s="24" t="str">
        <x:v>V1 / number-line</x:v>
      </x:c>
      <x:c r="H36" s="24" t="n">
        <x:v>1</x:v>
      </x:c>
      <x:c r="I36" s="24" t="str">
        <x:v>盘子里有10块饼干，小明吃了4块。盘子里还剩多少块？</x:v>
      </x:c>
      <x:c r="J36" s="24" t="str">
        <x:v>能根据“数量减少”选择减法策略</x:v>
      </x:c>
      <x:c r="K36" s="24" t="str">
        <x:v>6</x:v>
      </x:c>
      <x:c r="L36" s="24" t="str">
        <x:v>沿用Rev.A数学核对依据；本轮未针对该题建立新的独立数学推导</x:v>
      </x:c>
      <x:c r="M36" s="24" t="str">
        <x:v>REVISION_REQUIRED</x:v>
      </x:c>
      <x:c r="N36" s="24" t="str">
        <x:v>最终答案或简单操作能证明算式结果，不足以独立证明孩子选择过哪种解题策略。</x:v>
      </x:c>
      <x:c r="O36" s="24" t="str">
        <x:v>尚无直接泄题的静态结论；需教研按四级提示逐句确认。</x:v>
      </x:c>
      <x:c r="P36" s="24" t="str">
        <x:v>让孩子先在“加/减/比较/逆向”选策略，再操作图形并作答；新增策略动作不能仅由最终数字反推。</x:v>
      </x:c>
      <x:c r="Q36" s="24" t="str">
        <x:v>策略选择动作、选择依据及解题结果之间的对应关系，不得用终值代替策略证据。</x:v>
      </x:c>
      <x:c r="R36" s="24" t="str">
        <x:v>ABILITY_EVIDENCE_STRATEGY_WEAK</x:v>
      </x:c>
      <x:c r="S36" s="24" t="str">
        <x:v>原始未动</x:v>
      </x:c>
      <x:c r="T36" s="24" t="str">
        <x:v>PENDING</x:v>
      </x:c>
      <x:c r="U36" s="24" t="str"/>
      <x:c r="V36" s="24" t="str"/>
      <x:c r="W36" s="24" t="str"/>
    </x:row>
    <x:row r="37" ht="58" customHeight="1">
      <x:c r="A37" s="24" t="n">
        <x:v>36</x:v>
      </x:c>
      <x:c r="B37" s="24" t="str">
        <x:v>Rev.B原69题</x:v>
      </x:c>
      <x:c r="C37" s="24" t="str">
        <x:v>策略选择</x:v>
      </x:c>
      <x:c r="D37" s="24" t="str">
        <x:v>相差多少用什么方法</x:v>
      </x:c>
      <x:c r="E37" s="24" t="str">
        <x:v>cfc971b4-002f-42c3-8b00-993784a4f9ff</x:v>
      </x:c>
      <x:c r="F37" s="24" t="str">
        <x:v>cfc971b4-002f-42c3-8b00-993784a4f9ff</x:v>
      </x:c>
      <x:c r="G37" s="24" t="str">
        <x:v>V1 / objects</x:v>
      </x:c>
      <x:c r="H37" s="24" t="n">
        <x:v>1</x:v>
      </x:c>
      <x:c r="I37" s="24" t="str">
        <x:v>小红有8朵花，小蓝有5朵花。小红比小蓝多几朵？</x:v>
      </x:c>
      <x:c r="J37" s="24" t="str">
        <x:v>能根据“相差多少”选择比较/减法策略</x:v>
      </x:c>
      <x:c r="K37" s="24" t="str">
        <x:v>3</x:v>
      </x:c>
      <x:c r="L37" s="24" t="str">
        <x:v>沿用Rev.A数学核对依据；本轮未针对该题建立新的独立数学推导</x:v>
      </x:c>
      <x:c r="M37" s="24" t="str">
        <x:v>REVISION_REQUIRED</x:v>
      </x:c>
      <x:c r="N37" s="24" t="str">
        <x:v>最终答案或简单操作能证明算式结果，不足以独立证明孩子选择过哪种解题策略。</x:v>
      </x:c>
      <x:c r="O37" s="24" t="str">
        <x:v>尚无直接泄题的静态结论；需教研按四级提示逐句确认。</x:v>
      </x:c>
      <x:c r="P37" s="24" t="str">
        <x:v>让孩子先在“加/减/比较/逆向”选策略，再操作图形并作答；新增策略动作不能仅由最终数字反推。</x:v>
      </x:c>
      <x:c r="Q37" s="24" t="str">
        <x:v>策略选择动作、选择依据及解题结果之间的对应关系，不得用终值代替策略证据。</x:v>
      </x:c>
      <x:c r="R37" s="24" t="str">
        <x:v>ABILITY_EVIDENCE_STRATEGY_WEAK</x:v>
      </x:c>
      <x:c r="S37" s="24" t="str">
        <x:v>原始未动</x:v>
      </x:c>
      <x:c r="T37" s="24" t="str">
        <x:v>PENDING</x:v>
      </x:c>
      <x:c r="U37" s="24" t="str"/>
      <x:c r="V37" s="24" t="str"/>
      <x:c r="W37" s="24" t="str"/>
    </x:row>
    <x:row r="38" ht="58" customHeight="1">
      <x:c r="A38" s="24" t="n">
        <x:v>37</x:v>
      </x:c>
      <x:c r="B38" s="24" t="str">
        <x:v>Rev.B原69题</x:v>
      </x:c>
      <x:c r="C38" s="24" t="str">
        <x:v>策略选择</x:v>
      </x:c>
      <x:c r="D38" s="24" t="str">
        <x:v>V14-P0-036</x:v>
      </x:c>
      <x:c r="E38" s="24" t="str">
        <x:v>2c46c271-1a2f-4f45-ad3c-b5719ad58ded</x:v>
      </x:c>
      <x:c r="F38" s="24" t="str">
        <x:v>2c46c271-1a2f-4f45-ad3c-b5719ad58ded</x:v>
      </x:c>
      <x:c r="G38" s="24" t="str">
        <x:v>V2 / place-value</x:v>
      </x:c>
      <x:c r="H38" s="24" t="n">
        <x:v>1</x:v>
      </x:c>
      <x:c r="I38" s="24" t="str">
        <x:v>位值卡片[3, 0, 5]已经准备好。请按“百位是3，十位是0，个位是5”的要求拖到对应数位，再写出摆好的完整数字。</x:v>
      </x:c>
      <x:c r="J38" s="24" t="str">
        <x:v>正确把数字卡放入百十个位，并读写拼成的完整数。</x:v>
      </x:c>
      <x:c r="K38" s="24" t="str">
        <x:v>305</x:v>
      </x:c>
      <x:c r="L38" s="24" t="str">
        <x:v>数位卡目标数305；必须核对数字卡数位映射</x:v>
      </x:c>
      <x:c r="M38" s="24" t="str">
        <x:v>REVISION_REQUIRED</x:v>
      </x:c>
      <x:c r="N38" s="24" t="str">
        <x:v>最终答案或简单操作能证明算式结果，不足以独立证明孩子选择过哪种解题策略。</x:v>
      </x:c>
      <x:c r="O38" s="24" t="str">
        <x:v>尚无直接泄题的静态结论；需教研按四级提示逐句确认。</x:v>
      </x:c>
      <x:c r="P38" s="24" t="str">
        <x:v>数位卡已给定位置，不能视为策略选择；优先调整能力标签，除非补充两种解法选择任务。</x:v>
      </x:c>
      <x:c r="Q38" s="24" t="str">
        <x:v>策略选择动作、选择依据及解题结果之间的对应关系，不得用终值代替策略证据。</x:v>
      </x:c>
      <x:c r="R38" s="24" t="str">
        <x:v>STRATEGY_WRONG_LABEL_PLACEVALUE</x:v>
      </x:c>
      <x:c r="S38" s="24" t="str">
        <x:v>原始未动</x:v>
      </x:c>
      <x:c r="T38" s="24" t="str">
        <x:v>PENDING</x:v>
      </x:c>
      <x:c r="U38" s="24" t="str"/>
      <x:c r="V38" s="24" t="str"/>
      <x:c r="W38" s="24" t="str"/>
    </x:row>
    <x:row r="39" ht="58" customHeight="1">
      <x:c r="A39" s="24" t="n">
        <x:v>38</x:v>
      </x:c>
      <x:c r="B39" s="24" t="str">
        <x:v>Rev.B原69题</x:v>
      </x:c>
      <x:c r="C39" s="24" t="str">
        <x:v>策略选择</x:v>
      </x:c>
      <x:c r="D39" s="24" t="str">
        <x:v>比我多要怎样算</x:v>
      </x:c>
      <x:c r="E39" s="24" t="str">
        <x:v>c07482bb-8a60-4b18-b3c1-25532a77a339</x:v>
      </x:c>
      <x:c r="F39" s="24" t="str">
        <x:v>c07482bb-8a60-4b18-b3c1-25532a77a339</x:v>
      </x:c>
      <x:c r="G39" s="24" t="str">
        <x:v>V1 / bar-model</x:v>
      </x:c>
      <x:c r="H39" s="24" t="n">
        <x:v>2</x:v>
      </x:c>
      <x:c r="I39" s="24" t="str">
        <x:v>小杰有7张卡片，小宁比小杰多4张。小宁有多少张卡片？</x:v>
      </x:c>
      <x:c r="J39" s="24" t="str">
        <x:v>能识别“已知基准+多出的量”应选择加法</x:v>
      </x:c>
      <x:c r="K39" s="24" t="str">
        <x:v>11</x:v>
      </x:c>
      <x:c r="L39" s="24" t="str">
        <x:v>沿用Rev.A数学核对依据；本轮未针对该题建立新的独立数学推导</x:v>
      </x:c>
      <x:c r="M39" s="24" t="str">
        <x:v>REVISION_REQUIRED</x:v>
      </x:c>
      <x:c r="N39" s="24" t="str">
        <x:v>最终答案或简单操作能证明算式结果，不足以独立证明孩子选择过哪种解题策略。</x:v>
      </x:c>
      <x:c r="O39" s="24" t="str">
        <x:v>尚无直接泄题的静态结论；需教研按四级提示逐句确认。</x:v>
      </x:c>
      <x:c r="P39" s="24" t="str">
        <x:v>让孩子先在“加/减/比较/逆向”选策略，再操作图形并作答；新增策略动作不能仅由最终数字反推。</x:v>
      </x:c>
      <x:c r="Q39" s="24" t="str">
        <x:v>策略选择动作、选择依据及解题结果之间的对应关系，不得用终值代替策略证据。</x:v>
      </x:c>
      <x:c r="R39" s="24" t="str">
        <x:v>ABILITY_EVIDENCE_STRATEGY_WEAK</x:v>
      </x:c>
      <x:c r="S39" s="24" t="str">
        <x:v>原始未动</x:v>
      </x:c>
      <x:c r="T39" s="24" t="str">
        <x:v>PENDING</x:v>
      </x:c>
      <x:c r="U39" s="24" t="str"/>
      <x:c r="V39" s="24" t="str"/>
      <x:c r="W39" s="24" t="str"/>
    </x:row>
    <x:row r="40" ht="58" customHeight="1">
      <x:c r="A40" s="24" t="n">
        <x:v>39</x:v>
      </x:c>
      <x:c r="B40" s="24" t="str">
        <x:v>Rev.B原69题</x:v>
      </x:c>
      <x:c r="C40" s="24" t="str">
        <x:v>策略选择</x:v>
      </x:c>
      <x:c r="D40" s="24" t="str">
        <x:v>知道多的找少的</x:v>
      </x:c>
      <x:c r="E40" s="24" t="str">
        <x:v>8612589b-80dd-4ac7-8658-c241b8d45153</x:v>
      </x:c>
      <x:c r="F40" s="24" t="str">
        <x:v>8612589b-80dd-4ac7-8658-c241b8d45153</x:v>
      </x:c>
      <x:c r="G40" s="24" t="str">
        <x:v>V1 / bar-model</x:v>
      </x:c>
      <x:c r="H40" s="24" t="n">
        <x:v>2</x:v>
      </x:c>
      <x:c r="I40" s="24" t="str">
        <x:v>哥哥有12个贝壳，比妹妹多5个。妹妹有多少个贝壳？</x:v>
      </x:c>
      <x:c r="J40" s="24" t="str">
        <x:v>能在比较关系中选择从较大数减去差</x:v>
      </x:c>
      <x:c r="K40" s="24" t="str">
        <x:v>7</x:v>
      </x:c>
      <x:c r="L40" s="24" t="str">
        <x:v>沿用Rev.A数学核对依据；本轮未针对该题建立新的独立数学推导</x:v>
      </x:c>
      <x:c r="M40" s="24" t="str">
        <x:v>REVISION_REQUIRED</x:v>
      </x:c>
      <x:c r="N40" s="24" t="str">
        <x:v>最终答案或简单操作能证明算式结果，不足以独立证明孩子选择过哪种解题策略。</x:v>
      </x:c>
      <x:c r="O40" s="24" t="str">
        <x:v>尚无直接泄题的静态结论；需教研按四级提示逐句确认。</x:v>
      </x:c>
      <x:c r="P40" s="24" t="str">
        <x:v>让孩子先在“加/减/比较/逆向”选策略，再操作图形并作答；新增策略动作不能仅由最终数字反推。</x:v>
      </x:c>
      <x:c r="Q40" s="24" t="str">
        <x:v>策略选择动作、选择依据及解题结果之间的对应关系，不得用终值代替策略证据。</x:v>
      </x:c>
      <x:c r="R40" s="24" t="str">
        <x:v>ABILITY_EVIDENCE_STRATEGY_WEAK</x:v>
      </x:c>
      <x:c r="S40" s="24" t="str">
        <x:v>原始未动</x:v>
      </x:c>
      <x:c r="T40" s="24" t="str">
        <x:v>PENDING</x:v>
      </x:c>
      <x:c r="U40" s="24" t="str"/>
      <x:c r="V40" s="24" t="str"/>
      <x:c r="W40" s="24" t="str"/>
    </x:row>
    <x:row r="41" ht="58" customHeight="1">
      <x:c r="A41" s="24" t="n">
        <x:v>40</x:v>
      </x:c>
      <x:c r="B41" s="24" t="str">
        <x:v>Rev.B原69题</x:v>
      </x:c>
      <x:c r="C41" s="24" t="str">
        <x:v>策略选择</x:v>
      </x:c>
      <x:c r="D41" s="24" t="str">
        <x:v>知道整体找另一部分</x:v>
      </x:c>
      <x:c r="E41" s="24" t="str">
        <x:v>f5fb6594-862e-4dfe-9f19-723b1eed7ea6</x:v>
      </x:c>
      <x:c r="F41" s="24" t="str">
        <x:v>f5fb6594-862e-4dfe-9f19-723b1eed7ea6</x:v>
      </x:c>
      <x:c r="G41" s="24" t="str">
        <x:v>V1 / bar-model</x:v>
      </x:c>
      <x:c r="H41" s="24" t="n">
        <x:v>2</x:v>
      </x:c>
      <x:c r="I41" s="24" t="str">
        <x:v>书桌上共有15本书，其中6本是故事书，其余是科普书。科普书有多少本？</x:v>
      </x:c>
      <x:c r="J41" s="24" t="str">
        <x:v>能根据整体-部分结构选择减法</x:v>
      </x:c>
      <x:c r="K41" s="24" t="str">
        <x:v>9</x:v>
      </x:c>
      <x:c r="L41" s="24" t="str">
        <x:v>沿用Rev.A数学核对依据；本轮未针对该题建立新的独立数学推导</x:v>
      </x:c>
      <x:c r="M41" s="24" t="str">
        <x:v>REVISION_REQUIRED</x:v>
      </x:c>
      <x:c r="N41" s="24" t="str">
        <x:v>最终答案或简单操作能证明算式结果，不足以独立证明孩子选择过哪种解题策略。</x:v>
      </x:c>
      <x:c r="O41" s="24" t="str">
        <x:v>尚无直接泄题的静态结论；需教研按四级提示逐句确认。</x:v>
      </x:c>
      <x:c r="P41" s="24" t="str">
        <x:v>让孩子先在“加/减/比较/逆向”选策略，再操作图形并作答；新增策略动作不能仅由最终数字反推。</x:v>
      </x:c>
      <x:c r="Q41" s="24" t="str">
        <x:v>策略选择动作、选择依据及解题结果之间的对应关系，不得用终值代替策略证据。</x:v>
      </x:c>
      <x:c r="R41" s="24" t="str">
        <x:v>ABILITY_EVIDENCE_STRATEGY_WEAK</x:v>
      </x:c>
      <x:c r="S41" s="24" t="str">
        <x:v>原始未动</x:v>
      </x:c>
      <x:c r="T41" s="24" t="str">
        <x:v>PENDING</x:v>
      </x:c>
      <x:c r="U41" s="24" t="str"/>
      <x:c r="V41" s="24" t="str"/>
      <x:c r="W41" s="24" t="str"/>
    </x:row>
    <x:row r="42" ht="58" customHeight="1">
      <x:c r="A42" s="24" t="n">
        <x:v>41</x:v>
      </x:c>
      <x:c r="B42" s="24" t="str">
        <x:v>Rev.B原69题</x:v>
      </x:c>
      <x:c r="C42" s="24" t="str">
        <x:v>策略选择</x:v>
      </x:c>
      <x:c r="D42" s="24" t="str">
        <x:v>方框里藏了几（V2 链 R10）</x:v>
      </x:c>
      <x:c r="E42" s="24" t="str">
        <x:v>6a66010c-3b59-4322-8717-b841402f17ad</x:v>
      </x:c>
      <x:c r="F42" s="24" t="str">
        <x:v>6a66010c-3b59-4322-8717-b841402f17ad</x:v>
      </x:c>
      <x:c r="G42" s="24" t="str">
        <x:v>V2 / formula-board</x:v>
      </x:c>
      <x:c r="H42" s="24" t="n">
        <x:v>2</x:v>
      </x:c>
      <x:c r="I42" s="24" t="str">
        <x:v>盒子里有一些弹珠，外面又有4颗。一共有9颗。□+4=9，方框里藏了几？点亮圆圈填数字。</x:v>
      </x:c>
      <x:c r="J42" s="24" t="str">
        <x:v>用等式关系求未知加数（方程思想萌芽）</x:v>
      </x:c>
      <x:c r="K42" s="24" t="str">
        <x:v>5</x:v>
      </x:c>
      <x:c r="L42" s="24" t="str">
        <x:v>按等式 [{"t":"slot","id":"box","accept":"number"},{"t":"op","v":"+"},{"t":"num","v":4},{"t":"eq"},{"t":"num… 逆向计算空格=5</x:v>
      </x:c>
      <x:c r="M42" s="24" t="str">
        <x:v>REVISION_REQUIRED</x:v>
      </x:c>
      <x:c r="N42" s="24" t="str">
        <x:v>最终答案或简单操作能证明算式结果，不足以独立证明孩子选择过哪种解题策略。</x:v>
      </x:c>
      <x:c r="O42" s="24" t="str">
        <x:v>尚无直接泄题的静态结论；需教研按四级提示逐句确认。</x:v>
      </x:c>
      <x:c r="P42" s="24" t="str">
        <x:v>填空可用逆向求数，但现有题只问唯一数值；增加“逆算/试填验证”等可记录选择路径。</x:v>
      </x:c>
      <x:c r="Q42" s="24" t="str">
        <x:v>策略选择动作、选择依据及解题结果之间的对应关系，不得用终值代替策略证据。</x:v>
      </x:c>
      <x:c r="R42" s="24" t="str">
        <x:v>STRATEGY_FORMULA_SINGLE_PATH</x:v>
      </x:c>
      <x:c r="S42" s="24" t="str">
        <x:v>原始未动</x:v>
      </x:c>
      <x:c r="T42" s="24" t="str">
        <x:v>PENDING</x:v>
      </x:c>
      <x:c r="U42" s="24" t="str"/>
      <x:c r="V42" s="24" t="str"/>
      <x:c r="W42" s="24" t="str"/>
    </x:row>
    <x:row r="43" ht="58" customHeight="1">
      <x:c r="A43" s="24" t="n">
        <x:v>42</x:v>
      </x:c>
      <x:c r="B43" s="24" t="str">
        <x:v>Rev.B原69题</x:v>
      </x:c>
      <x:c r="C43" s="24" t="str">
        <x:v>策略选择</x:v>
      </x:c>
      <x:c r="D43" s="24" t="str">
        <x:v>加号还是减号（V2 链 R10）</x:v>
      </x:c>
      <x:c r="E43" s="24" t="str">
        <x:v>7f1ff763-3633-42ca-93f9-a556d3dc6267</x:v>
      </x:c>
      <x:c r="F43" s="24" t="str">
        <x:v>7f1ff763-3633-42ca-93f9-a556d3dc6267</x:v>
      </x:c>
      <x:c r="G43" s="24" t="str">
        <x:v>V2 / formula-board</x:v>
      </x:c>
      <x:c r="H43" s="24" t="n">
        <x:v>2</x:v>
      </x:c>
      <x:c r="I43" s="24" t="str">
        <x:v>鱼缸里有7条鱼，游走了一些剩下几条？看图列式 7○2=5。圆圈里该点加号还是减号？</x:v>
      </x:c>
      <x:c r="J43" s="24" t="str">
        <x:v>按数量变化选择正确的运算符号</x:v>
      </x:c>
      <x:c r="K43" s="24" t="str">
        <x:v>-</x:v>
      </x:c>
      <x:c r="L43" s="24" t="str">
        <x:v>7 ? 2=5；独立算式比较得到运算符 -</x:v>
      </x:c>
      <x:c r="M43" s="24" t="str">
        <x:v>APPROVED_CANDIDATE</x:v>
      </x:c>
      <x:c r="N43" s="24" t="str">
        <x:v>题目要求在加减两个符号间实际选择，提交符号“-”能够直接反映操作判断。</x:v>
      </x:c>
      <x:c r="O43" s="24" t="str">
        <x:v>尚无直接泄题的静态结论；需教研按四级提示逐句确认。</x:v>
      </x:c>
      <x:c r="P43" s="24" t="str">
        <x:v>保留运算符号选择；L4“试试减号”直接给出操作，应标为重度提示并交教研复核。</x:v>
      </x:c>
      <x:c r="Q43" s="24" t="str">
        <x:v>实际选择的运算符号、题意中“游走”对应数量减少的理由、提示级别。</x:v>
      </x:c>
      <x:c r="R43" s="24" t="str">
        <x:v>STRATEGY_FORMULA_SINGLE_PATH</x:v>
      </x:c>
      <x:c r="S43" s="24" t="str">
        <x:v>原始未动</x:v>
      </x:c>
      <x:c r="T43" s="24" t="str">
        <x:v>PENDING</x:v>
      </x:c>
      <x:c r="U43" s="24" t="str"/>
      <x:c r="V43" s="24" t="str"/>
      <x:c r="W43" s="24" t="str"/>
    </x:row>
    <x:row r="44" ht="58" customHeight="1">
      <x:c r="A44" s="24" t="n">
        <x:v>43</x:v>
      </x:c>
      <x:c r="B44" s="24" t="str">
        <x:v>Rev.B原69题</x:v>
      </x:c>
      <x:c r="C44" s="24" t="str">
        <x:v>策略选择</x:v>
      </x:c>
      <x:c r="D44" s="24" t="str">
        <x:v>给练习本付钱</x:v>
      </x:c>
      <x:c r="E44" s="24" t="str">
        <x:v>b978d294-7ea5-4670-8538-3c04c2113536</x:v>
      </x:c>
      <x:c r="F44" s="24" t="str">
        <x:v>b978d294-7ea5-4670-8538-3c04c2113536</x:v>
      </x:c>
      <x:c r="G44" s="24" t="str">
        <x:v>V2 / money-board</x:v>
      </x:c>
      <x:c r="H44" s="24" t="n">
        <x:v>2</x:v>
      </x:c>
      <x:c r="I44" s="24" t="str">
        <x:v>一本练习本 **3 元 5 角**。钱包里有 1 角、5 角、1 元、5 元四种钱：点一档就拿出一枚放到台面上，点「取回」放回去。凑出**正好** 3 元 5 角（不能多不能少）。答案用**角**表示你付了多少（1 元=10 角）。</x:v>
      </x:c>
      <x:c r="J44" s="24" t="str">
        <x:v>用不同面值组合凑出给定金额（元角换算）</x:v>
      </x:c>
      <x:c r="K44" s="24" t="str">
        <x:v>35</x:v>
      </x:c>
      <x:c r="L44" s="24" t="str">
        <x:v>题目指定付款35角；所选硬币组合须独立检查总额</x:v>
      </x:c>
      <x:c r="M44" s="24" t="str">
        <x:v>REVISION_REQUIRED</x:v>
      </x:c>
      <x:c r="N44" s="24" t="str">
        <x:v>最终答案或简单操作能证明算式结果，不足以独立证明孩子选择过哪种解题策略。</x:v>
      </x:c>
      <x:c r="O44" s="24" t="str">
        <x:v>尚无直接泄题的静态结论；需教研按四级提示逐句确认。</x:v>
      </x:c>
      <x:c r="P44" s="24" t="str">
        <x:v>要求比较至少两种合法硬币组合并说明选择依据；现有选币历史可保留，单一总金额不足以证明策略比较。</x:v>
      </x:c>
      <x:c r="Q44" s="24" t="str">
        <x:v>策略选择动作、选择依据及解题结果之间的对应关系，不得用终值代替策略证据。</x:v>
      </x:c>
      <x:c r="R44" s="24" t="str">
        <x:v>STRATEGY_PARTIAL_COIN_COMBINATION</x:v>
      </x:c>
      <x:c r="S44" s="24" t="str">
        <x:v>原始未动</x:v>
      </x:c>
      <x:c r="T44" s="24" t="str">
        <x:v>PENDING</x:v>
      </x:c>
      <x:c r="U44" s="24" t="str"/>
      <x:c r="V44" s="24" t="str"/>
      <x:c r="W44" s="24" t="str"/>
    </x:row>
    <x:row r="45" ht="58" customHeight="1">
      <x:c r="A45" s="24" t="n">
        <x:v>44</x:v>
      </x:c>
      <x:c r="B45" s="24" t="str">
        <x:v>Rev.B原69题</x:v>
      </x:c>
      <x:c r="C45" s="24" t="str">
        <x:v>策略选择</x:v>
      </x:c>
      <x:c r="D45" s="24" t="str">
        <x:v>V14-P0-142</x:v>
      </x:c>
      <x:c r="E45" s="24" t="str">
        <x:v>9ab5d643-bd5b-4a77-8f22-f963d2b2ad84</x:v>
      </x:c>
      <x:c r="F45" s="24" t="str">
        <x:v>9ab5d643-bd5b-4a77-8f22-f963d2b2ad84</x:v>
      </x:c>
      <x:c r="G45" s="24" t="str">
        <x:v>V2 / money-board</x:v>
      </x:c>
      <x:c r="H45" s="24" t="n">
        <x:v>2</x:v>
      </x:c>
      <x:c r="I45" s="24" t="str">
        <x:v>文具店一本练习本标价25角。请用货币板上的1角、5角、10角或50角硬币，选出正好能凑齐货款的组合，并提交所选硬币的总金额。</x:v>
      </x:c>
      <x:c r="J45" s="24" t="str">
        <x:v>使用支持的四种硬币币值正确凑付指定价格，并完成金额核对。</x:v>
      </x:c>
      <x:c r="K45" s="24" t="str">
        <x:v>25</x:v>
      </x:c>
      <x:c r="L45" s="24" t="str">
        <x:v>题目指定付款25角；所选硬币组合须独立检查总额</x:v>
      </x:c>
      <x:c r="M45" s="24" t="str">
        <x:v>REVISION_REQUIRED</x:v>
      </x:c>
      <x:c r="N45" s="24" t="str">
        <x:v>最终答案或简单操作能证明算式结果，不足以独立证明孩子选择过哪种解题策略。</x:v>
      </x:c>
      <x:c r="O45" s="24" t="str">
        <x:v>尚无直接泄题的静态结论；需教研按四级提示逐句确认。</x:v>
      </x:c>
      <x:c r="P45" s="24" t="str">
        <x:v>要求比较至少两种合法硬币组合并说明选择依据；现有选币历史可保留，单一总金额不足以证明策略比较。</x:v>
      </x:c>
      <x:c r="Q45" s="24" t="str">
        <x:v>策略选择动作、选择依据及解题结果之间的对应关系，不得用终值代替策略证据。</x:v>
      </x:c>
      <x:c r="R45" s="24" t="str">
        <x:v>STRATEGY_PARTIAL_COIN_COMBINATION</x:v>
      </x:c>
      <x:c r="S45" s="24" t="str">
        <x:v>原始未动</x:v>
      </x:c>
      <x:c r="T45" s="24" t="str">
        <x:v>PENDING</x:v>
      </x:c>
      <x:c r="U45" s="24" t="str"/>
      <x:c r="V45" s="24" t="str"/>
      <x:c r="W45" s="24" t="str"/>
    </x:row>
    <x:row r="46" ht="58" customHeight="1">
      <x:c r="A46" s="24" t="n">
        <x:v>45</x:v>
      </x:c>
      <x:c r="B46" s="24" t="str">
        <x:v>Rev.B原69题</x:v>
      </x:c>
      <x:c r="C46" s="24" t="str">
        <x:v>策略选择</x:v>
      </x:c>
      <x:c r="D46" s="24" t="str">
        <x:v>V14-P0-087</x:v>
      </x:c>
      <x:c r="E46" s="24" t="str">
        <x:v>49cd865c-c8eb-481f-a013-b7ee1c26896b</x:v>
      </x:c>
      <x:c r="F46" s="24" t="str">
        <x:v>49cd865c-c8eb-481f-a013-b7ee1c26896b</x:v>
      </x:c>
      <x:c r="G46" s="24" t="str">
        <x:v>V2 / estimation-canvas</x:v>
      </x:c>
      <x:c r="H46" s="24" t="n">
        <x:v>2</x:v>
      </x:c>
      <x:c r="I46" s="24" t="str">
        <x:v>观察画布上的一组散点，不要先逐个计数。请以10个为一组估一估数量，把滑条移到最接近的整十数，并说明依据。</x:v>
      </x:c>
      <x:c r="J46" s="24" t="str">
        <x:v>基于参照数进行连续滑条估计并判断数量是否合理。</x:v>
      </x:c>
      <x:c r="K46" s="24" t="str">
        <x:v>40</x:v>
      </x:c>
      <x:c r="L46" s="24" t="str">
        <x:v>actual=38，最近整十数=40；滑条与解释的真实性另核</x:v>
      </x:c>
      <x:c r="M46" s="24" t="str">
        <x:v>REVISION_REQUIRED</x:v>
      </x:c>
      <x:c r="N46" s="24" t="str">
        <x:v>最终答案或简单操作能证明算式结果，不足以独立证明孩子选择过哪种解题策略。</x:v>
      </x:c>
      <x:c r="O46" s="24" t="str">
        <x:v>尚无直接泄题的静态结论；需教研按四级提示逐句确认。</x:v>
      </x:c>
      <x:c r="P46" s="24" t="str">
        <x:v>估整十可测估量，但策略选择需比较“逐个数/整十分组”等方法并有理由。</x:v>
      </x:c>
      <x:c r="Q46" s="24" t="str">
        <x:v>策略选择动作、选择依据及解题结果之间的对应关系，不得用终值代替策略证据。</x:v>
      </x:c>
      <x:c r="R46" s="24" t="str">
        <x:v>STRATEGY_ESTIMATION_PARTIAL</x:v>
      </x:c>
      <x:c r="S46" s="24" t="str">
        <x:v>原始未动</x:v>
      </x:c>
      <x:c r="T46" s="24" t="str">
        <x:v>PENDING</x:v>
      </x:c>
      <x:c r="U46" s="24" t="str"/>
      <x:c r="V46" s="24" t="str"/>
      <x:c r="W46" s="24" t="str"/>
    </x:row>
    <x:row r="47" ht="58" customHeight="1">
      <x:c r="A47" s="24" t="n">
        <x:v>46</x:v>
      </x:c>
      <x:c r="B47" s="24" t="str">
        <x:v>Rev.B原69题</x:v>
      </x:c>
      <x:c r="C47" s="24" t="str">
        <x:v>策略选择</x:v>
      </x:c>
      <x:c r="D47" s="24" t="str">
        <x:v>V14-P0-047</x:v>
      </x:c>
      <x:c r="E47" s="24" t="str">
        <x:v>cdcc6e30-50f2-4efb-a5c8-06b373d8c797</x:v>
      </x:c>
      <x:c r="F47" s="24" t="str">
        <x:v>cdcc6e30-50f2-4efb-a5c8-06b373d8c797</x:v>
      </x:c>
      <x:c r="G47" s="24" t="str">
        <x:v>V2 / ten-frame</x:v>
      </x:c>
      <x:c r="H47" s="24" t="n">
        <x:v>2</x:v>
      </x:c>
      <x:c r="I47" s="24" t="str">
        <x:v>第一格框里已有3个圆点，接着再放7个。请在十格框中摆出变化，最后填写一共有多少个圆点。</x:v>
      </x:c>
      <x:c r="J47" s="24" t="str">
        <x:v>利用十格框的五格/十格结构合并和清点圆点。</x:v>
      </x:c>
      <x:c r="K47" s="24" t="str">
        <x:v>10</x:v>
      </x:c>
      <x:c r="L47" s="24" t="str">
        <x:v>初始3，达到10，应添加7个</x:v>
      </x:c>
      <x:c r="M47" s="24" t="str">
        <x:v>REVISION_REQUIRED</x:v>
      </x:c>
      <x:c r="N47" s="24" t="str">
        <x:v>最终答案或简单操作能证明算式结果，不足以独立证明孩子选择过哪种解题策略。</x:v>
      </x:c>
      <x:c r="O47" s="24" t="str">
        <x:v>尚无直接泄题的静态结论；需教研按四级提示逐句确认。</x:v>
      </x:c>
      <x:c r="P47" s="24" t="str">
        <x:v>十格框目前重点是凑十操作；让孩子在“逐个数/凑十”间作选择并解释何时更省步骤。</x:v>
      </x:c>
      <x:c r="Q47" s="24" t="str">
        <x:v>策略选择动作、选择依据及解题结果之间的对应关系，不得用终值代替策略证据。</x:v>
      </x:c>
      <x:c r="R47" s="24" t="str">
        <x:v>STRATEGY_SINGLE_MAKE_TEN</x:v>
      </x:c>
      <x:c r="S47" s="24" t="str">
        <x:v>原始未动</x:v>
      </x:c>
      <x:c r="T47" s="24" t="str">
        <x:v>PENDING</x:v>
      </x:c>
      <x:c r="U47" s="24" t="str"/>
      <x:c r="V47" s="24" t="str"/>
      <x:c r="W47" s="24" t="str"/>
    </x:row>
    <x:row r="48" ht="58" customHeight="1">
      <x:c r="A48" s="24" t="n">
        <x:v>47</x:v>
      </x:c>
      <x:c r="B48" s="24" t="str">
        <x:v>Rev.B原69题</x:v>
      </x:c>
      <x:c r="C48" s="24" t="str">
        <x:v>策略选择</x:v>
      </x:c>
      <x:c r="D48" s="24" t="str">
        <x:v>换个角度看比较</x:v>
      </x:c>
      <x:c r="E48" s="24" t="str">
        <x:v>04f97cb8-b918-4836-bf06-c39d8613fe0e</x:v>
      </x:c>
      <x:c r="F48" s="24" t="str">
        <x:v>04f97cb8-b918-4836-bf06-c39d8613fe0e</x:v>
      </x:c>
      <x:c r="G48" s="24" t="str">
        <x:v>V1 / bar-model</x:v>
      </x:c>
      <x:c r="H48" s="24" t="n">
        <x:v>3</x:v>
      </x:c>
      <x:c r="I48" s="24" t="str">
        <x:v>小冬有7张卡片，小冬比小夏少4张。小夏有多少张卡片？</x:v>
      </x:c>
      <x:c r="J48" s="24" t="str">
        <x:v>能在“少于”语言中识别实际要求的是较大数量并选择加法</x:v>
      </x:c>
      <x:c r="K48" s="24" t="str">
        <x:v>11</x:v>
      </x:c>
      <x:c r="L48" s="24" t="str">
        <x:v>沿用Rev.A数学核对依据；本轮未针对该题建立新的独立数学推导</x:v>
      </x:c>
      <x:c r="M48" s="24" t="str">
        <x:v>REVISION_REQUIRED</x:v>
      </x:c>
      <x:c r="N48" s="24" t="str">
        <x:v>最终答案或简单操作能证明算式结果，不足以独立证明孩子选择过哪种解题策略。</x:v>
      </x:c>
      <x:c r="O48" s="24" t="str">
        <x:v>尚无直接泄题的静态结论；需教研按四级提示逐句确认。</x:v>
      </x:c>
      <x:c r="P48" s="24" t="str">
        <x:v>让孩子先在“加/减/比较/逆向”选策略，再操作图形并作答；新增策略动作不能仅由最终数字反推。</x:v>
      </x:c>
      <x:c r="Q48" s="24" t="str">
        <x:v>策略选择动作、选择依据及解题结果之间的对应关系，不得用终值代替策略证据。</x:v>
      </x:c>
      <x:c r="R48" s="24" t="str">
        <x:v>ABILITY_EVIDENCE_STRATEGY_WEAK</x:v>
      </x:c>
      <x:c r="S48" s="24" t="str">
        <x:v>原始未动</x:v>
      </x:c>
      <x:c r="T48" s="24" t="str">
        <x:v>PENDING</x:v>
      </x:c>
      <x:c r="U48" s="24" t="str"/>
      <x:c r="V48" s="24" t="str"/>
      <x:c r="W48" s="24" t="str"/>
    </x:row>
    <x:row r="49" ht="58" customHeight="1">
      <x:c r="A49" s="24" t="n">
        <x:v>48</x:v>
      </x:c>
      <x:c r="B49" s="24" t="str">
        <x:v>Rev.B原69题</x:v>
      </x:c>
      <x:c r="C49" s="24" t="str">
        <x:v>策略选择</x:v>
      </x:c>
      <x:c r="D49" s="24" t="str">
        <x:v>原来有多少</x:v>
      </x:c>
      <x:c r="E49" s="24" t="str">
        <x:v>79acf485-2a4e-44e7-bdac-812cc1359b40</x:v>
      </x:c>
      <x:c r="F49" s="24" t="str">
        <x:v>79acf485-2a4e-44e7-bdac-812cc1359b40</x:v>
      </x:c>
      <x:c r="G49" s="24" t="str">
        <x:v>V1 / number-line</x:v>
      </x:c>
      <x:c r="H49" s="24" t="n">
        <x:v>3</x:v>
      </x:c>
      <x:c r="I49" s="24" t="str">
        <x:v>小宇送给同学3张贴纸后，自己还剩8张。小宇原来有多少张贴纸？</x:v>
      </x:c>
      <x:c r="J49" s="24" t="str">
        <x:v>能根据结果和减少量反推原始数量，选择逆向加法</x:v>
      </x:c>
      <x:c r="K49" s="24" t="str">
        <x:v>11</x:v>
      </x:c>
      <x:c r="L49" s="24" t="str">
        <x:v>沿用Rev.A数学核对依据；本轮未针对该题建立新的独立数学推导</x:v>
      </x:c>
      <x:c r="M49" s="24" t="str">
        <x:v>REVISION_REQUIRED</x:v>
      </x:c>
      <x:c r="N49" s="24" t="str">
        <x:v>最终答案或简单操作能证明算式结果，不足以独立证明孩子选择过哪种解题策略。</x:v>
      </x:c>
      <x:c r="O49" s="24" t="str">
        <x:v>尚无直接泄题的静态结论；需教研按四级提示逐句确认。</x:v>
      </x:c>
      <x:c r="P49" s="24" t="str">
        <x:v>让孩子先在“加/减/比较/逆向”选策略，再操作图形并作答；新增策略动作不能仅由最终数字反推。</x:v>
      </x:c>
      <x:c r="Q49" s="24" t="str">
        <x:v>策略选择动作、选择依据及解题结果之间的对应关系，不得用终值代替策略证据。</x:v>
      </x:c>
      <x:c r="R49" s="24" t="str">
        <x:v>ABILITY_EVIDENCE_STRATEGY_WEAK</x:v>
      </x:c>
      <x:c r="S49" s="24" t="str">
        <x:v>原始未动</x:v>
      </x:c>
      <x:c r="T49" s="24" t="str">
        <x:v>PENDING</x:v>
      </x:c>
      <x:c r="U49" s="24" t="str"/>
      <x:c r="V49" s="24" t="str"/>
      <x:c r="W49" s="24" t="str"/>
    </x:row>
    <x:row r="50" ht="58" customHeight="1">
      <x:c r="A50" s="24" t="n">
        <x:v>49</x:v>
      </x:c>
      <x:c r="B50" s="24" t="str">
        <x:v>Rev.B原69题</x:v>
      </x:c>
      <x:c r="C50" s="24" t="str">
        <x:v>策略选择</x:v>
      </x:c>
      <x:c r="D50" s="24" t="str">
        <x:v>V14-P0-043</x:v>
      </x:c>
      <x:c r="E50" s="24" t="str">
        <x:v>939ab507-cee6-449a-80b9-cf97cedd194b</x:v>
      </x:c>
      <x:c r="F50" s="24" t="str">
        <x:v>939ab507-cee6-449a-80b9-cf97cedd194b</x:v>
      </x:c>
      <x:c r="G50" s="24" t="str">
        <x:v>V2 / ten-frame</x:v>
      </x:c>
      <x:c r="H50" s="24" t="n">
        <x:v>3</x:v>
      </x:c>
      <x:c r="I50" s="24" t="str">
        <x:v>第一格框里已有7个圆点，接着再放3个。请在十格框中摆出变化，最后填写一共有多少个圆点。</x:v>
      </x:c>
      <x:c r="J50" s="24" t="str">
        <x:v>利用十格框的五格/十格结构合并和清点圆点。</x:v>
      </x:c>
      <x:c r="K50" s="24" t="str">
        <x:v>10</x:v>
      </x:c>
      <x:c r="L50" s="24" t="str">
        <x:v>初始7，达到10，应添加3个</x:v>
      </x:c>
      <x:c r="M50" s="24" t="str">
        <x:v>REVISION_REQUIRED</x:v>
      </x:c>
      <x:c r="N50" s="24" t="str">
        <x:v>最终答案或简单操作能证明算式结果，不足以独立证明孩子选择过哪种解题策略。</x:v>
      </x:c>
      <x:c r="O50" s="24" t="str">
        <x:v>尚无直接泄题的静态结论；需教研按四级提示逐句确认。</x:v>
      </x:c>
      <x:c r="P50" s="24" t="str">
        <x:v>十格框目前重点是凑十操作；让孩子在“逐个数/凑十”间作选择并解释何时更省步骤。</x:v>
      </x:c>
      <x:c r="Q50" s="24" t="str">
        <x:v>策略选择动作、选择依据及解题结果之间的对应关系，不得用终值代替策略证据。</x:v>
      </x:c>
      <x:c r="R50" s="24" t="str">
        <x:v>STRATEGY_SINGLE_MAKE_TEN</x:v>
      </x:c>
      <x:c r="S50" s="24" t="str">
        <x:v>原始未动</x:v>
      </x:c>
      <x:c r="T50" s="24" t="str">
        <x:v>PENDING</x:v>
      </x:c>
      <x:c r="U50" s="24" t="str"/>
      <x:c r="V50" s="24" t="str"/>
      <x:c r="W50" s="24" t="str"/>
    </x:row>
    <x:row r="51" ht="58" customHeight="1">
      <x:c r="A51" s="24" t="n">
        <x:v>50</x:v>
      </x:c>
      <x:c r="B51" s="24" t="str">
        <x:v>Rev.B原69题</x:v>
      </x:c>
      <x:c r="C51" s="24" t="str">
        <x:v>策略选择</x:v>
      </x:c>
      <x:c r="D51" s="24" t="str">
        <x:v>V14-P0-073</x:v>
      </x:c>
      <x:c r="E51" s="24" t="str">
        <x:v>e29e7012-306b-494a-8633-cfd56537adcd</x:v>
      </x:c>
      <x:c r="F51" s="24" t="str">
        <x:v>e29e7012-306b-494a-8633-cfd56537adcd</x:v>
      </x:c>
      <x:c r="G51" s="24" t="str">
        <x:v>V2 / formula-board</x:v>
      </x:c>
      <x:c r="H51" s="24" t="n">
        <x:v>3</x:v>
      </x:c>
      <x:c r="I51" s="24" t="str">
        <x:v>算式板上有一个空格：7+□=12。请把正确数字卡填入空格，让等式两边相等。</x:v>
      </x:c>
      <x:c r="J51" s="24" t="str">
        <x:v>识别固定算式中的唯一空位，依据等式关系求数值。</x:v>
      </x:c>
      <x:c r="K51" s="24" t="str">
        <x:v>5</x:v>
      </x:c>
      <x:c r="L51" s="24" t="str">
        <x:v>按等式 [{"t":"num","v":7},{"t":"op","v":"+"},{"t":"slot","id":"missing","accept":"number"},{"t":"eq","v":"=… 逆向计算空格=5</x:v>
      </x:c>
      <x:c r="M51" s="24" t="str">
        <x:v>REVISION_REQUIRED</x:v>
      </x:c>
      <x:c r="N51" s="24" t="str">
        <x:v>最终答案或简单操作能证明算式结果，不足以独立证明孩子选择过哪种解题策略。</x:v>
      </x:c>
      <x:c r="O51" s="24" t="str">
        <x:v>尚无直接泄题的静态结论；需教研按四级提示逐句确认。</x:v>
      </x:c>
      <x:c r="P51" s="24" t="str">
        <x:v>填空可用逆向求数，但现有题只问唯一数值；增加“逆算/试填验证”等可记录选择路径。</x:v>
      </x:c>
      <x:c r="Q51" s="24" t="str">
        <x:v>策略选择动作、选择依据及解题结果之间的对应关系，不得用终值代替策略证据。</x:v>
      </x:c>
      <x:c r="R51" s="24" t="str">
        <x:v>STRATEGY_FORMULA_SINGLE_PATH</x:v>
      </x:c>
      <x:c r="S51" s="24" t="str">
        <x:v>原始未动</x:v>
      </x:c>
      <x:c r="T51" s="24" t="str">
        <x:v>PENDING</x:v>
      </x:c>
      <x:c r="U51" s="24" t="str"/>
      <x:c r="V51" s="24" t="str"/>
      <x:c r="W51" s="24" t="str"/>
    </x:row>
    <x:row r="52" ht="58" customHeight="1">
      <x:c r="A52" s="24" t="n">
        <x:v>51</x:v>
      </x:c>
      <x:c r="B52" s="24" t="str">
        <x:v>Rev.B原69题</x:v>
      </x:c>
      <x:c r="C52" s="24" t="str">
        <x:v>策略选择</x:v>
      </x:c>
      <x:c r="D52" s="24" t="str">
        <x:v>V14-P0-138</x:v>
      </x:c>
      <x:c r="E52" s="24" t="str">
        <x:v>1716d898-506d-4428-a9de-664bc60b528e</x:v>
      </x:c>
      <x:c r="F52" s="24" t="str">
        <x:v>1716d898-506d-4428-a9de-664bc60b528e</x:v>
      </x:c>
      <x:c r="G52" s="24" t="str">
        <x:v>V2 / money-board</x:v>
      </x:c>
      <x:c r="H52" s="24" t="n">
        <x:v>3</x:v>
      </x:c>
      <x:c r="I52" s="24" t="str">
        <x:v>文具摊上，一支笔标价10角，一块橡皮标价5角。用货币板上的1角、5角、10角和50角币凑出总价。</x:v>
      </x:c>
      <x:c r="J52" s="24" t="str">
        <x:v>以角为单位识别币值并计算支付总量或找零。</x:v>
      </x:c>
      <x:c r="K52" s="24" t="str">
        <x:v>15</x:v>
      </x:c>
      <x:c r="L52" s="24" t="str">
        <x:v>题目指定付款15角；所选硬币组合须独立检查总额</x:v>
      </x:c>
      <x:c r="M52" s="24" t="str">
        <x:v>REVISION_REQUIRED</x:v>
      </x:c>
      <x:c r="N52" s="24" t="str">
        <x:v>最终答案或简单操作能证明算式结果，不足以独立证明孩子选择过哪种解题策略。</x:v>
      </x:c>
      <x:c r="O52" s="24" t="str">
        <x:v>尚无直接泄题的静态结论；需教研按四级提示逐句确认。</x:v>
      </x:c>
      <x:c r="P52" s="24" t="str">
        <x:v>要求比较至少两种合法硬币组合并说明选择依据；现有选币历史可保留，单一总金额不足以证明策略比较。</x:v>
      </x:c>
      <x:c r="Q52" s="24" t="str">
        <x:v>策略选择动作、选择依据及解题结果之间的对应关系，不得用终值代替策略证据。</x:v>
      </x:c>
      <x:c r="R52" s="24" t="str">
        <x:v>STRATEGY_PARTIAL_COIN_COMBINATION</x:v>
      </x:c>
      <x:c r="S52" s="24" t="str">
        <x:v>原始未动</x:v>
      </x:c>
      <x:c r="T52" s="24" t="str">
        <x:v>PENDING</x:v>
      </x:c>
      <x:c r="U52" s="24" t="str"/>
      <x:c r="V52" s="24" t="str"/>
      <x:c r="W52" s="24" t="str"/>
    </x:row>
    <x:row r="53" ht="58" customHeight="1">
      <x:c r="A53" s="24" t="n">
        <x:v>52</x:v>
      </x:c>
      <x:c r="B53" s="24" t="str">
        <x:v>Rev.B原69题</x:v>
      </x:c>
      <x:c r="C53" s="24" t="str">
        <x:v>策略选择</x:v>
      </x:c>
      <x:c r="D53" s="24" t="str">
        <x:v>V14-P0-143</x:v>
      </x:c>
      <x:c r="E53" s="24" t="str">
        <x:v>2ff4a288-9db7-4945-9ff8-db00eccaacdb</x:v>
      </x:c>
      <x:c r="F53" s="24" t="str">
        <x:v>2ff4a288-9db7-4945-9ff8-db00eccaacdb</x:v>
      </x:c>
      <x:c r="G53" s="24" t="str">
        <x:v>V2 / money-board</x:v>
      </x:c>
      <x:c r="H53" s="24" t="n">
        <x:v>3</x:v>
      </x:c>
      <x:c r="I53" s="24" t="str">
        <x:v>文具店一本练习本标价35角。请用货币板上的1角、5角、10角或50角硬币，选出正好能凑齐货款的组合，并提交所选硬币的总金额。</x:v>
      </x:c>
      <x:c r="J53" s="24" t="str">
        <x:v>使用支持的四种硬币币值正确凑付指定价格，并完成金额核对。</x:v>
      </x:c>
      <x:c r="K53" s="24" t="str">
        <x:v>35</x:v>
      </x:c>
      <x:c r="L53" s="24" t="str">
        <x:v>题目指定付款35角；所选硬币组合须独立检查总额</x:v>
      </x:c>
      <x:c r="M53" s="24" t="str">
        <x:v>REVISION_REQUIRED</x:v>
      </x:c>
      <x:c r="N53" s="24" t="str">
        <x:v>最终答案或简单操作能证明算式结果，不足以独立证明孩子选择过哪种解题策略。</x:v>
      </x:c>
      <x:c r="O53" s="24" t="str">
        <x:v>尚无直接泄题的静态结论；需教研按四级提示逐句确认。</x:v>
      </x:c>
      <x:c r="P53" s="24" t="str">
        <x:v>要求比较至少两种合法硬币组合并说明选择依据；现有选币历史可保留，单一总金额不足以证明策略比较。</x:v>
      </x:c>
      <x:c r="Q53" s="24" t="str">
        <x:v>策略选择动作、选择依据及解题结果之间的对应关系，不得用终值代替策略证据。</x:v>
      </x:c>
      <x:c r="R53" s="24" t="str">
        <x:v>STRATEGY_PARTIAL_COIN_COMBINATION</x:v>
      </x:c>
      <x:c r="S53" s="24" t="str">
        <x:v>原始未动</x:v>
      </x:c>
      <x:c r="T53" s="24" t="str">
        <x:v>PENDING</x:v>
      </x:c>
      <x:c r="U53" s="24" t="str"/>
      <x:c r="V53" s="24" t="str"/>
      <x:c r="W53" s="24" t="str"/>
    </x:row>
    <x:row r="54" ht="58" customHeight="1">
      <x:c r="A54" s="24" t="n">
        <x:v>53</x:v>
      </x:c>
      <x:c r="B54" s="24" t="str">
        <x:v>Rev.B原69题</x:v>
      </x:c>
      <x:c r="C54" s="24" t="str">
        <x:v>策略选择</x:v>
      </x:c>
      <x:c r="D54" s="24" t="str">
        <x:v>V14-P0-083</x:v>
      </x:c>
      <x:c r="E54" s="24" t="str">
        <x:v>46b80862-2973-4737-a4bc-dbfdab4dae83</x:v>
      </x:c>
      <x:c r="F54" s="24" t="str">
        <x:v>46b80862-2973-4737-a4bc-dbfdab4dae83</x:v>
      </x:c>
      <x:c r="G54" s="24" t="str">
        <x:v>V2 / estimation-canvas</x:v>
      </x:c>
      <x:c r="H54" s="24" t="n">
        <x:v>3</x:v>
      </x:c>
      <x:c r="I54" s="24" t="str">
        <x:v>观察画布上的一组散点，不要先逐个计数。请以10个为一组估一估数量，把滑条移到最接近的整十数，并说明依据。</x:v>
      </x:c>
      <x:c r="J54" s="24" t="str">
        <x:v>基于参照数进行连续滑条估计并判断数量是否合理。</x:v>
      </x:c>
      <x:c r="K54" s="24" t="str">
        <x:v>50</x:v>
      </x:c>
      <x:c r="L54" s="24" t="str">
        <x:v>actual=47，最近整十数=50；滑条与解释的真实性另核</x:v>
      </x:c>
      <x:c r="M54" s="24" t="str">
        <x:v>REVISION_REQUIRED</x:v>
      </x:c>
      <x:c r="N54" s="24" t="str">
        <x:v>最终答案或简单操作能证明算式结果，不足以独立证明孩子选择过哪种解题策略。</x:v>
      </x:c>
      <x:c r="O54" s="24" t="str">
        <x:v>尚无直接泄题的静态结论；需教研按四级提示逐句确认。</x:v>
      </x:c>
      <x:c r="P54" s="24" t="str">
        <x:v>估整十可测估量，但策略选择需比较“逐个数/整十分组”等方法并有理由。</x:v>
      </x:c>
      <x:c r="Q54" s="24" t="str">
        <x:v>策略选择动作、选择依据及解题结果之间的对应关系，不得用终值代替策略证据。</x:v>
      </x:c>
      <x:c r="R54" s="24" t="str">
        <x:v>STRATEGY_ESTIMATION_PARTIAL</x:v>
      </x:c>
      <x:c r="S54" s="24" t="str">
        <x:v>原始未动</x:v>
      </x:c>
      <x:c r="T54" s="24" t="str">
        <x:v>PENDING</x:v>
      </x:c>
      <x:c r="U54" s="24" t="str"/>
      <x:c r="V54" s="24" t="str"/>
      <x:c r="W54" s="24" t="str"/>
    </x:row>
    <x:row r="55" ht="58" customHeight="1">
      <x:c r="A55" s="24" t="n">
        <x:v>54</x:v>
      </x:c>
      <x:c r="B55" s="24" t="str">
        <x:v>Rev.B原69题</x:v>
      </x:c>
      <x:c r="C55" s="24" t="str">
        <x:v>策略选择</x:v>
      </x:c>
      <x:c r="D55" s="24" t="str">
        <x:v>先求另一人再求总数</x:v>
      </x:c>
      <x:c r="E55" s="24" t="str">
        <x:v>6e5395f0-def7-4060-a501-044d8e9a3764</x:v>
      </x:c>
      <x:c r="F55" s="24" t="str">
        <x:v>6e5395f0-def7-4060-a501-044d8e9a3764</x:v>
      </x:c>
      <x:c r="G55" s="24" t="str">
        <x:v>V1 / bar-model</x:v>
      </x:c>
      <x:c r="H55" s="24" t="n">
        <x:v>4</x:v>
      </x:c>
      <x:c r="I55" s="24" t="str">
        <x:v>小明有9本故事书，小红比小明多3本。两个人一共有多少本故事书？</x:v>
      </x:c>
      <x:c r="J55" s="24" t="str">
        <x:v>能先求出隐藏数量，再选择第二步求总量</x:v>
      </x:c>
      <x:c r="K55" s="24" t="str">
        <x:v>21</x:v>
      </x:c>
      <x:c r="L55" s="24" t="str">
        <x:v>沿用Rev.A数学核对依据；本轮未针对该题建立新的独立数学推导</x:v>
      </x:c>
      <x:c r="M55" s="24" t="str">
        <x:v>REVISION_REQUIRED</x:v>
      </x:c>
      <x:c r="N55" s="24" t="str">
        <x:v>最终答案或简单操作能证明算式结果，不足以独立证明孩子选择过哪种解题策略。</x:v>
      </x:c>
      <x:c r="O55" s="24" t="str">
        <x:v>尚无直接泄题的静态结论；需教研按四级提示逐句确认。</x:v>
      </x:c>
      <x:c r="P55" s="24" t="str">
        <x:v>让孩子先在“加/减/比较/逆向”选策略，再操作图形并作答；新增策略动作不能仅由最终数字反推。</x:v>
      </x:c>
      <x:c r="Q55" s="24" t="str">
        <x:v>策略选择动作、选择依据及解题结果之间的对应关系，不得用终值代替策略证据。</x:v>
      </x:c>
      <x:c r="R55" s="24" t="str">
        <x:v>ABILITY_EVIDENCE_STRATEGY_WEAK</x:v>
      </x:c>
      <x:c r="S55" s="24" t="str">
        <x:v>原始未动</x:v>
      </x:c>
      <x:c r="T55" s="24" t="str">
        <x:v>PENDING</x:v>
      </x:c>
      <x:c r="U55" s="24" t="str"/>
      <x:c r="V55" s="24" t="str"/>
      <x:c r="W55" s="24" t="str"/>
    </x:row>
    <x:row r="56" ht="58" customHeight="1">
      <x:c r="A56" s="24" t="n">
        <x:v>55</x:v>
      </x:c>
      <x:c r="B56" s="24" t="str">
        <x:v>Rev.B原69题</x:v>
      </x:c>
      <x:c r="C56" s="24" t="str">
        <x:v>策略选择</x:v>
      </x:c>
      <x:c r="D56" s="24" t="str">
        <x:v>V14-P0-139</x:v>
      </x:c>
      <x:c r="E56" s="24" t="str">
        <x:v>6b87f039-372a-4146-80d2-6873e38001f9</x:v>
      </x:c>
      <x:c r="F56" s="24" t="str">
        <x:v>6b87f039-372a-4146-80d2-6873e38001f9</x:v>
      </x:c>
      <x:c r="G56" s="24" t="str">
        <x:v>V2 / money-board</x:v>
      </x:c>
      <x:c r="H56" s="24" t="n">
        <x:v>4</x:v>
      </x:c>
      <x:c r="I56" s="24" t="str">
        <x:v>文具摊上，一件文具标价20角，另一件标价15角。请用1角、5角、10角和50角币在货币板上凑出两件文具的总价。</x:v>
      </x:c>
      <x:c r="J56" s="24" t="str">
        <x:v>根据两件文具的价格计算目标金额，并用规定币值准确凑付。</x:v>
      </x:c>
      <x:c r="K56" s="24" t="str">
        <x:v>35</x:v>
      </x:c>
      <x:c r="L56" s="24" t="str">
        <x:v>题目指定付款35角；所选硬币组合须独立检查总额</x:v>
      </x:c>
      <x:c r="M56" s="24" t="str">
        <x:v>REVISION_REQUIRED</x:v>
      </x:c>
      <x:c r="N56" s="24" t="str">
        <x:v>最终答案或简单操作能证明算式结果，不足以独立证明孩子选择过哪种解题策略。</x:v>
      </x:c>
      <x:c r="O56" s="24" t="str">
        <x:v>尚无直接泄题的静态结论；需教研按四级提示逐句确认。</x:v>
      </x:c>
      <x:c r="P56" s="24" t="str">
        <x:v>要求比较至少两种合法硬币组合并说明选择依据；现有选币历史可保留，单一总金额不足以证明策略比较。</x:v>
      </x:c>
      <x:c r="Q56" s="24" t="str">
        <x:v>策略选择动作、选择依据及解题结果之间的对应关系，不得用终值代替策略证据。</x:v>
      </x:c>
      <x:c r="R56" s="24" t="str">
        <x:v>STRATEGY_PARTIAL_COIN_COMBINATION</x:v>
      </x:c>
      <x:c r="S56" s="24" t="str">
        <x:v>原始未动</x:v>
      </x:c>
      <x:c r="T56" s="24" t="str">
        <x:v>PENDING</x:v>
      </x:c>
      <x:c r="U56" s="24" t="str"/>
      <x:c r="V56" s="24" t="str"/>
      <x:c r="W56" s="24" t="str"/>
    </x:row>
    <x:row r="57" ht="58" customHeight="1">
      <x:c r="A57" s="24" t="n">
        <x:v>56</x:v>
      </x:c>
      <x:c r="B57" s="24" t="str">
        <x:v>Rev.B原69题</x:v>
      </x:c>
      <x:c r="C57" s="24" t="str">
        <x:v>策略选择</x:v>
      </x:c>
      <x:c r="D57" s="24" t="str">
        <x:v>V14-P0-074</x:v>
      </x:c>
      <x:c r="E57" s="24" t="str">
        <x:v>8122c8c2-5151-46e8-b6d8-6df76e984775</x:v>
      </x:c>
      <x:c r="F57" s="24" t="str">
        <x:v>8122c8c2-5151-46e8-b6d8-6df76e984775</x:v>
      </x:c>
      <x:c r="G57" s="24" t="str">
        <x:v>V2 / formula-board</x:v>
      </x:c>
      <x:c r="H57" s="24" t="n">
        <x:v>4</x:v>
      </x:c>
      <x:c r="I57" s="24" t="str">
        <x:v>算式板上有一个空格：15-□=9。请把正确数字卡填入空格，让等式两边相等。</x:v>
      </x:c>
      <x:c r="J57" s="24" t="str">
        <x:v>识别固定算式中的唯一空位，依据等式关系求数值。</x:v>
      </x:c>
      <x:c r="K57" s="24" t="str">
        <x:v>6</x:v>
      </x:c>
      <x:c r="L57" s="24" t="str">
        <x:v>按等式 [{"t":"num","v":15},{"t":"op","v":"-"},{"t":"slot","id":"missing","accept":"number"},{"t":"eq","v":"… 逆向计算空格=6</x:v>
      </x:c>
      <x:c r="M57" s="24" t="str">
        <x:v>REVISION_REQUIRED</x:v>
      </x:c>
      <x:c r="N57" s="24" t="str">
        <x:v>最终答案或简单操作能证明算式结果，不足以独立证明孩子选择过哪种解题策略。</x:v>
      </x:c>
      <x:c r="O57" s="24" t="str">
        <x:v>尚无直接泄题的静态结论；需教研按四级提示逐句确认。</x:v>
      </x:c>
      <x:c r="P57" s="24" t="str">
        <x:v>填空可用逆向求数，但现有题只问唯一数值；增加“逆算/试填验证”等可记录选择路径。</x:v>
      </x:c>
      <x:c r="Q57" s="24" t="str">
        <x:v>策略选择动作、选择依据及解题结果之间的对应关系，不得用终值代替策略证据。</x:v>
      </x:c>
      <x:c r="R57" s="24" t="str">
        <x:v>STRATEGY_FORMULA_SINGLE_PATH</x:v>
      </x:c>
      <x:c r="S57" s="24" t="str">
        <x:v>原始未动</x:v>
      </x:c>
      <x:c r="T57" s="24" t="str">
        <x:v>PENDING</x:v>
      </x:c>
      <x:c r="U57" s="24" t="str"/>
      <x:c r="V57" s="24" t="str"/>
      <x:c r="W57" s="24" t="str"/>
    </x:row>
    <x:row r="58" ht="58" customHeight="1">
      <x:c r="A58" s="24" t="n">
        <x:v>57</x:v>
      </x:c>
      <x:c r="B58" s="24" t="str">
        <x:v>Rev.B原69题</x:v>
      </x:c>
      <x:c r="C58" s="24" t="str">
        <x:v>策略选择</x:v>
      </x:c>
      <x:c r="D58" s="24" t="str">
        <x:v>V14-P0-064</x:v>
      </x:c>
      <x:c r="E58" s="24" t="str">
        <x:v>ba81c426-4bcd-435e-b567-6cb2f071d7f7</x:v>
      </x:c>
      <x:c r="F58" s="24" t="str">
        <x:v>ba81c426-4bcd-435e-b567-6cb2f071d7f7</x:v>
      </x:c>
      <x:c r="G58" s="24" t="str">
        <x:v>V2 / array-board</x:v>
      </x:c>
      <x:c r="H58" s="24" t="n">
        <x:v>4</x:v>
      </x:c>
      <x:c r="I58" s="24" t="str">
        <x:v>每行摆2个棋子，共摆5行。请在阵列板上摆出阵列，并填写一共有多少个棋子。</x:v>
      </x:c>
      <x:c r="J58" s="24" t="str">
        <x:v>理解每行数量和行数，摆出阵列并求总数。</x:v>
      </x:c>
      <x:c r="K58" s="24" t="str">
        <x:v>10</x:v>
      </x:c>
      <x:c r="L58" s="24" t="str">
        <x:v>5行×2列=10</x:v>
      </x:c>
      <x:c r="M58" s="24" t="str">
        <x:v>REVISION_REQUIRED</x:v>
      </x:c>
      <x:c r="N58" s="24" t="str">
        <x:v>最终答案或简单操作能证明算式结果，不足以独立证明孩子选择过哪种解题策略。</x:v>
      </x:c>
      <x:c r="O58" s="24" t="str">
        <x:v>尚无直接泄题的静态结论；需教研按四级提示逐句确认。</x:v>
      </x:c>
      <x:c r="P58" s="24" t="str">
        <x:v>阵列板可证明几行几列的建模，但策略选择需多种求和/乘法路径并留下选择依据。</x:v>
      </x:c>
      <x:c r="Q58" s="24" t="str">
        <x:v>策略选择动作、选择依据及解题结果之间的对应关系，不得用终值代替策略证据。</x:v>
      </x:c>
      <x:c r="R58" s="24" t="str">
        <x:v>STRATEGY_ARRAY_EXECUTION_ONLY</x:v>
      </x:c>
      <x:c r="S58" s="24" t="str">
        <x:v>原始未动</x:v>
      </x:c>
      <x:c r="T58" s="24" t="str">
        <x:v>PENDING</x:v>
      </x:c>
      <x:c r="U58" s="24" t="str"/>
      <x:c r="V58" s="24" t="str"/>
      <x:c r="W58" s="24" t="str"/>
    </x:row>
    <x:row r="59" ht="58" customHeight="1">
      <x:c r="A59" s="24" t="n">
        <x:v>58</x:v>
      </x:c>
      <x:c r="B59" s="24" t="str">
        <x:v>Rev.B原69题</x:v>
      </x:c>
      <x:c r="C59" s="24" t="str">
        <x:v>策略选择</x:v>
      </x:c>
      <x:c r="D59" s="24" t="str">
        <x:v>V14-P0-024</x:v>
      </x:c>
      <x:c r="E59" s="24" t="str">
        <x:v>3b94815f-16a6-4a8f-a17d-2b1e2b229053</x:v>
      </x:c>
      <x:c r="F59" s="24" t="str">
        <x:v>3b94815f-16a6-4a8f-a17d-2b1e2b229053</x:v>
      </x:c>
      <x:c r="G59" s="24" t="str">
        <x:v>V2 / number-line</x:v>
      </x:c>
      <x:c r="H59" s="24" t="n">
        <x:v>4</x:v>
      </x:c>
      <x:c r="I59" s="24" t="str">
        <x:v>在数轴上从30出发，向左每次跳8，连续跳1次。请完成跳步并写出终点。</x:v>
      </x:c>
      <x:c r="J59" s="24" t="str">
        <x:v>用数轴上等长跳步表达加减变化并准确定位终点。</x:v>
      </x:c>
      <x:c r="K59" s="24" t="str">
        <x:v>22</x:v>
      </x:c>
      <x:c r="L59" s="24" t="str">
        <x:v>30-8×1=22（跳步过程约束须另核）</x:v>
      </x:c>
      <x:c r="M59" s="24" t="str">
        <x:v>REVISION_REQUIRED</x:v>
      </x:c>
      <x:c r="N59" s="24" t="str">
        <x:v>最终答案或简单操作能证明算式结果，不足以独立证明孩子选择过哪种解题策略。</x:v>
      </x:c>
      <x:c r="O59" s="24" t="str">
        <x:v>尚无直接泄题的静态结论；需教研按四级提示逐句确认。</x:v>
      </x:c>
      <x:c r="P59" s="24" t="str">
        <x:v>让孩子先在“加/减/比较/逆向”选策略，再操作图形并作答；新增策略动作不能仅由最终数字反推。</x:v>
      </x:c>
      <x:c r="Q59" s="24" t="str">
        <x:v>策略选择动作、选择依据及解题结果之间的对应关系，不得用终值代替策略证据。</x:v>
      </x:c>
      <x:c r="R59" s="24" t="str">
        <x:v>STRATEGY_GIVEN_JUMP_NOT_CHOICE</x:v>
      </x:c>
      <x:c r="S59" s="24" t="str">
        <x:v>原始未动</x:v>
      </x:c>
      <x:c r="T59" s="24" t="str">
        <x:v>PENDING</x:v>
      </x:c>
      <x:c r="U59" s="24" t="str"/>
      <x:c r="V59" s="24" t="str"/>
      <x:c r="W59" s="24" t="str"/>
    </x:row>
    <x:row r="60" ht="58" customHeight="1">
      <x:c r="A60" s="24" t="n">
        <x:v>59</x:v>
      </x:c>
      <x:c r="B60" s="24" t="str">
        <x:v>Rev.B原69题</x:v>
      </x:c>
      <x:c r="C60" s="24" t="str">
        <x:v>策略选择</x:v>
      </x:c>
      <x:c r="D60" s="24" t="str">
        <x:v>V14-P0-020</x:v>
      </x:c>
      <x:c r="E60" s="24" t="str">
        <x:v>52df263c-9da3-4a3c-b98e-c3e2b82c561b</x:v>
      </x:c>
      <x:c r="F60" s="24" t="str">
        <x:v>52df263c-9da3-4a3c-b98e-c3e2b82c561b</x:v>
      </x:c>
      <x:c r="G60" s="24" t="str">
        <x:v>V2 / number-line</x:v>
      </x:c>
      <x:c r="H60" s="24" t="n">
        <x:v>5</x:v>
      </x:c>
      <x:c r="I60" s="24" t="str">
        <x:v>在数轴上从16出发，向左每次跳7，连续跳1次。请完成跳步并写出终点。</x:v>
      </x:c>
      <x:c r="J60" s="24" t="str">
        <x:v>用数轴上等长跳步表达加减变化并准确定位终点。</x:v>
      </x:c>
      <x:c r="K60" s="24" t="str">
        <x:v>9</x:v>
      </x:c>
      <x:c r="L60" s="24" t="str">
        <x:v>16-7×1=9（跳步过程约束须另核）</x:v>
      </x:c>
      <x:c r="M60" s="24" t="str">
        <x:v>REVISION_REQUIRED</x:v>
      </x:c>
      <x:c r="N60" s="24" t="str">
        <x:v>最终答案或简单操作能证明算式结果，不足以独立证明孩子选择过哪种解题策略。</x:v>
      </x:c>
      <x:c r="O60" s="24" t="str">
        <x:v>尚无直接泄题的静态结论；需教研按四级提示逐句确认。</x:v>
      </x:c>
      <x:c r="P60" s="24" t="str">
        <x:v>让孩子先在“加/减/比较/逆向”选策略，再操作图形并作答；新增策略动作不能仅由最终数字反推。</x:v>
      </x:c>
      <x:c r="Q60" s="24" t="str">
        <x:v>策略选择动作、选择依据及解题结果之间的对应关系，不得用终值代替策略证据。</x:v>
      </x:c>
      <x:c r="R60" s="24" t="str">
        <x:v>STRATEGY_GIVEN_JUMP_NOT_CHOICE</x:v>
      </x:c>
      <x:c r="S60" s="24" t="str">
        <x:v>原始未动</x:v>
      </x:c>
      <x:c r="T60" s="24" t="str">
        <x:v>PENDING</x:v>
      </x:c>
      <x:c r="U60" s="24" t="str"/>
      <x:c r="V60" s="24" t="str"/>
      <x:c r="W60" s="24" t="str"/>
    </x:row>
    <x:row r="61" ht="58" customHeight="1">
      <x:c r="A61" s="24" t="n">
        <x:v>60</x:v>
      </x:c>
      <x:c r="B61" s="24" t="str">
        <x:v>Rev.B原69题</x:v>
      </x:c>
      <x:c r="C61" s="24" t="str">
        <x:v>策略选择</x:v>
      </x:c>
      <x:c r="D61" s="24" t="str">
        <x:v>V14-P0-040</x:v>
      </x:c>
      <x:c r="E61" s="24" t="str">
        <x:v>8d8c71fb-9c9d-45d6-9c8a-d395f202f9fa</x:v>
      </x:c>
      <x:c r="F61" s="24" t="str">
        <x:v>8d8c71fb-9c9d-45d6-9c8a-d395f202f9fa</x:v>
      </x:c>
      <x:c r="G61" s="24" t="str">
        <x:v>V2 / place-value</x:v>
      </x:c>
      <x:c r="H61" s="24" t="n">
        <x:v>5</x:v>
      </x:c>
      <x:c r="I61" s="24" t="str">
        <x:v>位值卡片[2, 0, 6]已经准备好。请按“百位是2，十位是0，个位是6”的要求拖到对应数位，再写出摆好的完整数字。</x:v>
      </x:c>
      <x:c r="J61" s="24" t="str">
        <x:v>正确把数字卡放入百十个位，并读写拼成的完整数。</x:v>
      </x:c>
      <x:c r="K61" s="24" t="str">
        <x:v>206</x:v>
      </x:c>
      <x:c r="L61" s="24" t="str">
        <x:v>数位卡目标数206；必须核对数字卡数位映射</x:v>
      </x:c>
      <x:c r="M61" s="24" t="str">
        <x:v>REVISION_REQUIRED</x:v>
      </x:c>
      <x:c r="N61" s="24" t="str">
        <x:v>最终答案或简单操作能证明算式结果，不足以独立证明孩子选择过哪种解题策略。</x:v>
      </x:c>
      <x:c r="O61" s="24" t="str">
        <x:v>尚无直接泄题的静态结论；需教研按四级提示逐句确认。</x:v>
      </x:c>
      <x:c r="P61" s="24" t="str">
        <x:v>数位卡已给定位置，不能视为策略选择；优先调整能力标签，除非补充两种解法选择任务。</x:v>
      </x:c>
      <x:c r="Q61" s="24" t="str">
        <x:v>策略选择动作、选择依据及解题结果之间的对应关系，不得用终值代替策略证据。</x:v>
      </x:c>
      <x:c r="R61" s="24" t="str">
        <x:v>STRATEGY_WRONG_LABEL_PLACEVALUE</x:v>
      </x:c>
      <x:c r="S61" s="24" t="str">
        <x:v>原始未动</x:v>
      </x:c>
      <x:c r="T61" s="24" t="str">
        <x:v>PENDING</x:v>
      </x:c>
      <x:c r="U61" s="24" t="str"/>
      <x:c r="V61" s="24" t="str"/>
      <x:c r="W61" s="24" t="str"/>
    </x:row>
    <x:row r="62" ht="58" customHeight="1">
      <x:c r="A62" s="24" t="n">
        <x:v>61</x:v>
      </x:c>
      <x:c r="B62" s="24" t="str">
        <x:v>Rev.B原69题</x:v>
      </x:c>
      <x:c r="C62" s="24" t="str">
        <x:v>策略选择</x:v>
      </x:c>
      <x:c r="D62" s="24" t="str">
        <x:v>V14-P0-060</x:v>
      </x:c>
      <x:c r="E62" s="24" t="str">
        <x:v>a1f45723-7d39-4c45-b8fd-9f5cddcf38ea</x:v>
      </x:c>
      <x:c r="F62" s="24" t="str">
        <x:v>a1f45723-7d39-4c45-b8fd-9f5cddcf38ea</x:v>
      </x:c>
      <x:c r="G62" s="24" t="str">
        <x:v>V2 / array-board</x:v>
      </x:c>
      <x:c r="H62" s="24" t="n">
        <x:v>5</x:v>
      </x:c>
      <x:c r="I62" s="24" t="str">
        <x:v>每行摆3个棋子，共摆5行。请在阵列板上摆出阵列，并填写一共有多少个棋子。</x:v>
      </x:c>
      <x:c r="J62" s="24" t="str">
        <x:v>理解每行数量和行数，摆出阵列并求总数。</x:v>
      </x:c>
      <x:c r="K62" s="24" t="str">
        <x:v>15</x:v>
      </x:c>
      <x:c r="L62" s="24" t="str">
        <x:v>5行×3列=15</x:v>
      </x:c>
      <x:c r="M62" s="24" t="str">
        <x:v>REVISION_REQUIRED</x:v>
      </x:c>
      <x:c r="N62" s="24" t="str">
        <x:v>最终答案或简单操作能证明算式结果，不足以独立证明孩子选择过哪种解题策略。</x:v>
      </x:c>
      <x:c r="O62" s="24" t="str">
        <x:v>尚无直接泄题的静态结论；需教研按四级提示逐句确认。</x:v>
      </x:c>
      <x:c r="P62" s="24" t="str">
        <x:v>阵列板可证明几行几列的建模，但策略选择需多种求和/乘法路径并留下选择依据。</x:v>
      </x:c>
      <x:c r="Q62" s="24" t="str">
        <x:v>策略选择动作、选择依据及解题结果之间的对应关系，不得用终值代替策略证据。</x:v>
      </x:c>
      <x:c r="R62" s="24" t="str">
        <x:v>STRATEGY_ARRAY_EXECUTION_ONLY</x:v>
      </x:c>
      <x:c r="S62" s="24" t="str">
        <x:v>原始未动</x:v>
      </x:c>
      <x:c r="T62" s="24" t="str">
        <x:v>PENDING</x:v>
      </x:c>
      <x:c r="U62" s="24" t="str"/>
      <x:c r="V62" s="24" t="str"/>
      <x:c r="W62" s="24" t="str"/>
    </x:row>
    <x:row r="63" ht="58" customHeight="1">
      <x:c r="A63" s="24" t="n">
        <x:v>62</x:v>
      </x:c>
      <x:c r="B63" s="24" t="str">
        <x:v>Rev.B原69题</x:v>
      </x:c>
      <x:c r="C63" s="24" t="str">
        <x:v>策略选择</x:v>
      </x:c>
      <x:c r="D63" s="24" t="str">
        <x:v>V14-P0-075</x:v>
      </x:c>
      <x:c r="E63" s="24" t="str">
        <x:v>506538f4-1e95-402a-9b2e-8069d78251c5</x:v>
      </x:c>
      <x:c r="F63" s="24" t="str">
        <x:v>506538f4-1e95-402a-9b2e-8069d78251c5</x:v>
      </x:c>
      <x:c r="G63" s="24" t="str">
        <x:v>V2 / formula-board</x:v>
      </x:c>
      <x:c r="H63" s="24" t="n">
        <x:v>5</x:v>
      </x:c>
      <x:c r="I63" s="24" t="str">
        <x:v>算式板上有一个空格：□+8=17。请把正确数字卡填入空格，让等式两边相等。</x:v>
      </x:c>
      <x:c r="J63" s="24" t="str">
        <x:v>识别固定算式中的唯一空位，依据等式关系求数值。</x:v>
      </x:c>
      <x:c r="K63" s="24" t="str">
        <x:v>9</x:v>
      </x:c>
      <x:c r="L63" s="24" t="str">
        <x:v>按等式 [{"t":"slot","id":"missing","accept":"number"},{"t":"op","v":"+"},{"t":"num","v":8},{"t":"eq","v":"=… 逆向计算空格=9</x:v>
      </x:c>
      <x:c r="M63" s="24" t="str">
        <x:v>REVISION_REQUIRED</x:v>
      </x:c>
      <x:c r="N63" s="24" t="str">
        <x:v>最终答案或简单操作能证明算式结果，不足以独立证明孩子选择过哪种解题策略。</x:v>
      </x:c>
      <x:c r="O63" s="24" t="str">
        <x:v>尚无直接泄题的静态结论；需教研按四级提示逐句确认。</x:v>
      </x:c>
      <x:c r="P63" s="24" t="str">
        <x:v>填空可用逆向求数，但现有题只问唯一数值；增加“逆算/试填验证”等可记录选择路径。</x:v>
      </x:c>
      <x:c r="Q63" s="24" t="str">
        <x:v>策略选择动作、选择依据及解题结果之间的对应关系，不得用终值代替策略证据。</x:v>
      </x:c>
      <x:c r="R63" s="24" t="str">
        <x:v>STRATEGY_FORMULA_SINGLE_PATH</x:v>
      </x:c>
      <x:c r="S63" s="24" t="str">
        <x:v>原始未动</x:v>
      </x:c>
      <x:c r="T63" s="24" t="str">
        <x:v>PENDING</x:v>
      </x:c>
      <x:c r="U63" s="24" t="str"/>
      <x:c r="V63" s="24" t="str"/>
      <x:c r="W63" s="24" t="str"/>
    </x:row>
    <x:row r="64" ht="58" customHeight="1">
      <x:c r="A64" s="24" t="n">
        <x:v>63</x:v>
      </x:c>
      <x:c r="B64" s="24" t="str">
        <x:v>Rev.B原69题</x:v>
      </x:c>
      <x:c r="C64" s="24" t="str">
        <x:v>迁移观察</x:v>
      </x:c>
      <x:c r="D64" s="24" t="str">
        <x:v>换成跑步圈数还能比较</x:v>
      </x:c>
      <x:c r="E64" s="24" t="str">
        <x:v>8f603745-fc26-4402-9cd2-0fc20cfd401a</x:v>
      </x:c>
      <x:c r="F64" s="24" t="str">
        <x:v>8f603745-fc26-4402-9cd2-0fc20cfd401a</x:v>
      </x:c>
      <x:c r="G64" s="24" t="str">
        <x:v>V1 / objects</x:v>
      </x:c>
      <x:c r="H64" s="24" t="n">
        <x:v>3</x:v>
      </x:c>
      <x:c r="I64" s="24" t="str">
        <x:v>晨练时，小海跑了9圈，小森跑了6圈。小海比小森多跑几圈？</x:v>
      </x:c>
      <x:c r="J64" s="24" t="str">
        <x:v>把已掌握的“比较求相差”关系迁移到新的生活情境</x:v>
      </x:c>
      <x:c r="K64" s="24" t="str">
        <x:v>3</x:v>
      </x:c>
      <x:c r="L64" s="24" t="str">
        <x:v>沿用Rev.A数学核对依据；本轮未针对该题建立新的独立数学推导</x:v>
      </x:c>
      <x:c r="M64" s="24" t="str">
        <x:v>REVISION_REQUIRED</x:v>
      </x:c>
      <x:c r="N64" s="24" t="str">
        <x:v>当前仅有一题的新场景表现，未关联来源任务与原情境独立正确的证据，不能独立证明迁移。</x:v>
      </x:c>
      <x:c r="O64" s="24" t="str">
        <x:v>尚无直接泄题的静态结论；需教研按四级提示逐句确认。</x:v>
      </x:c>
      <x:c r="P64" s="24" t="str">
        <x:v>绑定同结构来源题和不同情境目标题，建立跨Session的“来源表现→迁移表现”契约；题目本身可作为普通练习保留。</x:v>
      </x:c>
      <x:c r="Q64" s="24" t="str">
        <x:v>来源rvid、目标题rvid、context_family差异、首次独立作答及提示级别。</x:v>
      </x:c>
      <x:c r="R64" s="24" t="str">
        <x:v>TRANSFER_PAIRING_UNVERIFIED</x:v>
      </x:c>
      <x:c r="S64" s="24" t="str">
        <x:v>原始未动</x:v>
      </x:c>
      <x:c r="T64" s="24" t="str">
        <x:v>PENDING</x:v>
      </x:c>
      <x:c r="U64" s="24" t="str"/>
      <x:c r="V64" s="24" t="str"/>
      <x:c r="W64" s="24" t="str"/>
    </x:row>
    <x:row r="65" ht="58" customHeight="1">
      <x:c r="A65" s="24" t="n">
        <x:v>64</x:v>
      </x:c>
      <x:c r="B65" s="24" t="str">
        <x:v>Rev.B原69题</x:v>
      </x:c>
      <x:c r="C65" s="24" t="str">
        <x:v>迁移观察</x:v>
      </x:c>
      <x:c r="D65" s="24" t="str">
        <x:v>换成座位数量还能增加</x:v>
      </x:c>
      <x:c r="E65" s="24" t="str">
        <x:v>a5ea2487-ac28-41c3-898b-03e6e1c4de16</x:v>
      </x:c>
      <x:c r="F65" s="24" t="str">
        <x:v>a5ea2487-ac28-41c3-898b-03e6e1c4de16</x:v>
      </x:c>
      <x:c r="G65" s="24" t="str">
        <x:v>V1 / number-line</x:v>
      </x:c>
      <x:c r="H65" s="24" t="n">
        <x:v>3</x:v>
      </x:c>
      <x:c r="I65" s="24" t="str">
        <x:v>教室里原来摆了12把椅子，老师又搬来4把。现在一共有多少把椅子？</x:v>
      </x:c>
      <x:c r="J65" s="24" t="str">
        <x:v>把“数量增加后的结果”迁移到新的物品与场景</x:v>
      </x:c>
      <x:c r="K65" s="24" t="str">
        <x:v>16</x:v>
      </x:c>
      <x:c r="L65" s="24" t="str">
        <x:v>沿用Rev.A数学核对依据；本轮未针对该题建立新的独立数学推导</x:v>
      </x:c>
      <x:c r="M65" s="24" t="str">
        <x:v>REVISION_REQUIRED</x:v>
      </x:c>
      <x:c r="N65" s="24" t="str">
        <x:v>当前仅有一题的新场景表现，未关联来源任务与原情境独立正确的证据，不能独立证明迁移。</x:v>
      </x:c>
      <x:c r="O65" s="24" t="str">
        <x:v>尚无直接泄题的静态结论；需教研按四级提示逐句确认。</x:v>
      </x:c>
      <x:c r="P65" s="24" t="str">
        <x:v>绑定同结构来源题和不同情境目标题，建立跨Session的“来源表现→迁移表现”契约；题目本身可作为普通练习保留。</x:v>
      </x:c>
      <x:c r="Q65" s="24" t="str">
        <x:v>来源rvid、目标题rvid、context_family差异、首次独立作答及提示级别。</x:v>
      </x:c>
      <x:c r="R65" s="24" t="str">
        <x:v>TRANSFER_PAIRING_UNVERIFIED</x:v>
      </x:c>
      <x:c r="S65" s="24" t="str">
        <x:v>原始未动</x:v>
      </x:c>
      <x:c r="T65" s="24" t="str">
        <x:v>PENDING</x:v>
      </x:c>
      <x:c r="U65" s="24" t="str"/>
      <x:c r="V65" s="24" t="str"/>
      <x:c r="W65" s="24" t="str"/>
    </x:row>
    <x:row r="66" ht="58" customHeight="1">
      <x:c r="A66" s="24" t="n">
        <x:v>65</x:v>
      </x:c>
      <x:c r="B66" s="24" t="str">
        <x:v>Rev.B原69题</x:v>
      </x:c>
      <x:c r="C66" s="24" t="str">
        <x:v>迁移观察</x:v>
      </x:c>
      <x:c r="D66" s="24" t="str">
        <x:v>换成步数中的多</x:v>
      </x:c>
      <x:c r="E66" s="24" t="str">
        <x:v>c88410f2-f810-47b4-8ae4-cc218b140a88</x:v>
      </x:c>
      <x:c r="F66" s="24" t="str">
        <x:v>c88410f2-f810-47b4-8ae4-cc218b140a88</x:v>
      </x:c>
      <x:c r="G66" s="24" t="str">
        <x:v>V1 / bar-model</x:v>
      </x:c>
      <x:c r="H66" s="24" t="n">
        <x:v>4</x:v>
      </x:c>
      <x:c r="I66" s="24" t="str">
        <x:v>小雨今天走了9千步，小安比小雨多走4千步。小安今天走了多少千步？</x:v>
      </x:c>
      <x:c r="J66" s="24" t="str">
        <x:v>把“基准+多出量”关系迁移到不同单位情境</x:v>
      </x:c>
      <x:c r="K66" s="24" t="str">
        <x:v>13</x:v>
      </x:c>
      <x:c r="L66" s="24" t="str">
        <x:v>沿用Rev.A数学核对依据；本轮未针对该题建立新的独立数学推导</x:v>
      </x:c>
      <x:c r="M66" s="24" t="str">
        <x:v>REVISION_REQUIRED</x:v>
      </x:c>
      <x:c r="N66" s="24" t="str">
        <x:v>当前仅有一题的新场景表现，未关联来源任务与原情境独立正确的证据，不能独立证明迁移。</x:v>
      </x:c>
      <x:c r="O66" s="24" t="str">
        <x:v>尚无直接泄题的静态结论；需教研按四级提示逐句确认。</x:v>
      </x:c>
      <x:c r="P66" s="24" t="str">
        <x:v>绑定同结构来源题和不同情境目标题，建立跨Session的“来源表现→迁移表现”契约；题目本身可作为普通练习保留。</x:v>
      </x:c>
      <x:c r="Q66" s="24" t="str">
        <x:v>来源rvid、目标题rvid、context_family差异、首次独立作答及提示级别。</x:v>
      </x:c>
      <x:c r="R66" s="24" t="str">
        <x:v>TRANSFER_PAIRING_UNVERIFIED</x:v>
      </x:c>
      <x:c r="S66" s="24" t="str">
        <x:v>原始未动</x:v>
      </x:c>
      <x:c r="T66" s="24" t="str">
        <x:v>PENDING</x:v>
      </x:c>
      <x:c r="U66" s="24" t="str"/>
      <x:c r="V66" s="24" t="str"/>
      <x:c r="W66" s="24" t="str"/>
    </x:row>
    <x:row r="67" ht="58" customHeight="1">
      <x:c r="A67" s="24" t="n">
        <x:v>66</x:v>
      </x:c>
      <x:c r="B67" s="24" t="str">
        <x:v>Rev.B原69题</x:v>
      </x:c>
      <x:c r="C67" s="24" t="str">
        <x:v>迁移观察</x:v>
      </x:c>
      <x:c r="D67" s="24" t="str">
        <x:v>换成水杯里的另一部分</x:v>
      </x:c>
      <x:c r="E67" s="24" t="str">
        <x:v>b1a30690-f909-4ab6-8414-26a1378872e3</x:v>
      </x:c>
      <x:c r="F67" s="24" t="str">
        <x:v>b1a30690-f909-4ab6-8414-26a1378872e3</x:v>
      </x:c>
      <x:c r="G67" s="24" t="str">
        <x:v>V1 / bar-model</x:v>
      </x:c>
      <x:c r="H67" s="24" t="n">
        <x:v>4</x:v>
      </x:c>
      <x:c r="I67" s="24" t="str">
        <x:v>餐桌上共有18个杯子，其中7个是蓝色的，其余是白色的。白色杯子有多少个？</x:v>
      </x:c>
      <x:c r="J67" s="24" t="str">
        <x:v>把整体-部分关系迁移到新场景与更大数量</x:v>
      </x:c>
      <x:c r="K67" s="24" t="str">
        <x:v>11</x:v>
      </x:c>
      <x:c r="L67" s="24" t="str">
        <x:v>沿用Rev.A数学核对依据；本轮未针对该题建立新的独立数学推导</x:v>
      </x:c>
      <x:c r="M67" s="24" t="str">
        <x:v>REVISION_REQUIRED</x:v>
      </x:c>
      <x:c r="N67" s="24" t="str">
        <x:v>当前仅有一题的新场景表现，未关联来源任务与原情境独立正确的证据，不能独立证明迁移。</x:v>
      </x:c>
      <x:c r="O67" s="24" t="str">
        <x:v>尚无直接泄题的静态结论；需教研按四级提示逐句确认。</x:v>
      </x:c>
      <x:c r="P67" s="24" t="str">
        <x:v>绑定同结构来源题和不同情境目标题，建立跨Session的“来源表现→迁移表现”契约；题目本身可作为普通练习保留。</x:v>
      </x:c>
      <x:c r="Q67" s="24" t="str">
        <x:v>来源rvid、目标题rvid、context_family差异、首次独立作答及提示级别。</x:v>
      </x:c>
      <x:c r="R67" s="24" t="str">
        <x:v>TRANSFER_PAIRING_UNVERIFIED</x:v>
      </x:c>
      <x:c r="S67" s="24" t="str">
        <x:v>原始未动</x:v>
      </x:c>
      <x:c r="T67" s="24" t="str">
        <x:v>PENDING</x:v>
      </x:c>
      <x:c r="U67" s="24" t="str"/>
      <x:c r="V67" s="24" t="str"/>
      <x:c r="W67" s="24" t="str"/>
    </x:row>
    <x:row r="68" ht="58" customHeight="1">
      <x:c r="A68" s="24" t="n">
        <x:v>67</x:v>
      </x:c>
      <x:c r="B68" s="24" t="str">
        <x:v>Rev.B原69题</x:v>
      </x:c>
      <x:c r="C68" s="24" t="str">
        <x:v>迁移观察</x:v>
      </x:c>
      <x:c r="D68" s="24" t="str">
        <x:v>V14-P0-149</x:v>
      </x:c>
      <x:c r="E68" s="24" t="str">
        <x:v>845c6fea-418f-4365-a25e-b50e5b5040f8</x:v>
      </x:c>
      <x:c r="F68" s="24" t="str">
        <x:v>845c6fea-418f-4365-a25e-b50e5b5040f8</x:v>
      </x:c>
      <x:c r="G68" s="24" t="str">
        <x:v>V2 / pattern-board</x:v>
      </x:c>
      <x:c r="H68" s="24" t="n">
        <x:v>4</x:v>
      </x:c>
      <x:c r="I68" s="24" t="str">
        <x:v>颜色编码规律板的前四格依次是 1、4、1、4（两个编码代表两种颜色）。观察两次重复，再按顺序补上接下来的两格。</x:v>
      </x:c>
      <x:c r="J68" s="24" t="str">
        <x:v>识别 ABAB 的两个交替符号，并按顺序补齐后续位置。</x:v>
      </x:c>
      <x:c r="K68" s="24" t="str">
        <x:v>14</x:v>
      </x:c>
      <x:c r="L68" s="24" t="str">
        <x:v>周期[1, 4, 1, 4]；后2格按规则填=14</x:v>
      </x:c>
      <x:c r="M68" s="24" t="str">
        <x:v>REVISION_REQUIRED</x:v>
      </x:c>
      <x:c r="N68" s="24" t="str">
        <x:v>当前仅有一题的新场景表现，未关联来源任务与原情境独立正确的证据，不能独立证明迁移。</x:v>
      </x:c>
      <x:c r="O68" s="24" t="str">
        <x:v>尚无直接泄题的静态结论；需教研按四级提示逐句确认。</x:v>
      </x:c>
      <x:c r="P68" s="24" t="str">
        <x:v>绑定同结构来源题和不同情境目标题，建立跨Session的“来源表现→迁移表现”契约；题目本身可作为普通练习保留。</x:v>
      </x:c>
      <x:c r="Q68" s="24" t="str">
        <x:v>来源rvid、目标题rvid、context_family差异、首次独立作答及提示级别。</x:v>
      </x:c>
      <x:c r="R68" s="24" t="str">
        <x:v>TRANSFER_PAIRING_UNVERIFIED</x:v>
      </x:c>
      <x:c r="S68" s="24" t="str">
        <x:v>原始未动</x:v>
      </x:c>
      <x:c r="T68" s="24" t="str">
        <x:v>PENDING</x:v>
      </x:c>
      <x:c r="U68" s="24" t="str"/>
      <x:c r="V68" s="24" t="str"/>
      <x:c r="W68" s="24" t="str"/>
    </x:row>
    <x:row r="69" ht="58" customHeight="1">
      <x:c r="A69" s="24" t="n">
        <x:v>68</x:v>
      </x:c>
      <x:c r="B69" s="24" t="str">
        <x:v>Rev.B原69题</x:v>
      </x:c>
      <x:c r="C69" s="24" t="str">
        <x:v>迁移观察</x:v>
      </x:c>
      <x:c r="D69" s="24" t="str">
        <x:v>V14-P0-155</x:v>
      </x:c>
      <x:c r="E69" s="24" t="str">
        <x:v>57c34c52-7fc2-4ba8-9f66-2a60c622d6f4</x:v>
      </x:c>
      <x:c r="F69" s="24" t="str">
        <x:v>57c34c52-7fc2-4ba8-9f66-2a60c622d6f4</x:v>
      </x:c>
      <x:c r="G69" s="24" t="str">
        <x:v>V2 / pattern-board</x:v>
      </x:c>
      <x:c r="H69" s="24" t="n">
        <x:v>5</x:v>
      </x:c>
      <x:c r="I69" s="24" t="str">
        <x:v>颜色编码规律板的前四格依次是 1、3、1、3（两个编码代表两种颜色）。观察两次重复，再按顺序补上接下来的两格。</x:v>
      </x:c>
      <x:c r="J69" s="24" t="str">
        <x:v>识别 ABAB 的两个交替符号，并按顺序补齐后续位置。</x:v>
      </x:c>
      <x:c r="K69" s="24" t="str">
        <x:v>13</x:v>
      </x:c>
      <x:c r="L69" s="24" t="str">
        <x:v>周期[1, 3, 1, 3]；后2格按规则填=13</x:v>
      </x:c>
      <x:c r="M69" s="24" t="str">
        <x:v>REVISION_REQUIRED</x:v>
      </x:c>
      <x:c r="N69" s="24" t="str">
        <x:v>当前仅有一题的新场景表现，未关联来源任务与原情境独立正确的证据，不能独立证明迁移。</x:v>
      </x:c>
      <x:c r="O69" s="24" t="str">
        <x:v>尚无直接泄题的静态结论；需教研按四级提示逐句确认。</x:v>
      </x:c>
      <x:c r="P69" s="24" t="str">
        <x:v>绑定同结构来源题和不同情境目标题，建立跨Session的“来源表现→迁移表现”契约；题目本身可作为普通练习保留。</x:v>
      </x:c>
      <x:c r="Q69" s="24" t="str">
        <x:v>来源rvid、目标题rvid、context_family差异、首次独立作答及提示级别。</x:v>
      </x:c>
      <x:c r="R69" s="24" t="str">
        <x:v>TRANSFER_PAIRING_UNVERIFIED</x:v>
      </x:c>
      <x:c r="S69" s="24" t="str">
        <x:v>原始未动</x:v>
      </x:c>
      <x:c r="T69" s="24" t="str">
        <x:v>PENDING</x:v>
      </x:c>
      <x:c r="U69" s="24" t="str"/>
      <x:c r="V69" s="24" t="str"/>
      <x:c r="W69" s="24" t="str"/>
    </x:row>
    <x:row r="70" ht="58" customHeight="1">
      <x:c r="A70" s="24" t="n">
        <x:v>69</x:v>
      </x:c>
      <x:c r="B70" s="24" t="str">
        <x:v>Rev.B原69题</x:v>
      </x:c>
      <x:c r="C70" s="24" t="str">
        <x:v>迁移观察</x:v>
      </x:c>
      <x:c r="D70" s="24" t="str">
        <x:v>V14-P0-145</x:v>
      </x:c>
      <x:c r="E70" s="24" t="str">
        <x:v>3d60a583-d90d-442d-9e2d-d78ab970b414</x:v>
      </x:c>
      <x:c r="F70" s="24" t="str">
        <x:v>3d60a583-d90d-442d-9e2d-d78ab970b414</x:v>
      </x:c>
      <x:c r="G70" s="24" t="str">
        <x:v>V2 / pattern-board</x:v>
      </x:c>
      <x:c r="H70" s="24" t="n">
        <x:v>5</x:v>
      </x:c>
      <x:c r="I70" s="24" t="str">
        <x:v>颜色编码规律板的前四格依次是 1、2、1、2（两个编码代表两种颜色）。观察两次重复，再按顺序补上接下来的两格。</x:v>
      </x:c>
      <x:c r="J70" s="24" t="str">
        <x:v>识别 ABAB 的两个交替符号，并按顺序补齐后续位置。</x:v>
      </x:c>
      <x:c r="K70" s="24" t="str">
        <x:v>12</x:v>
      </x:c>
      <x:c r="L70" s="24" t="str">
        <x:v>周期[1, 2, 1, 2]；后2格按规则填=12</x:v>
      </x:c>
      <x:c r="M70" s="24" t="str">
        <x:v>REVISION_REQUIRED</x:v>
      </x:c>
      <x:c r="N70" s="24" t="str">
        <x:v>当前仅有一题的新场景表现，未关联来源任务与原情境独立正确的证据，不能独立证明迁移。</x:v>
      </x:c>
      <x:c r="O70" s="24" t="str">
        <x:v>尚无直接泄题的静态结论；需教研按四级提示逐句确认。</x:v>
      </x:c>
      <x:c r="P70" s="24" t="str">
        <x:v>绑定同结构来源题和不同情境目标题，建立跨Session的“来源表现→迁移表现”契约；题目本身可作为普通练习保留。</x:v>
      </x:c>
      <x:c r="Q70" s="24" t="str">
        <x:v>来源rvid、目标题rvid、context_family差异、首次独立作答及提示级别。</x:v>
      </x:c>
      <x:c r="R70" s="24" t="str">
        <x:v>TRANSFER_PAIRING_UNVERIFIED</x:v>
      </x:c>
      <x:c r="S70" s="24" t="str">
        <x:v>原始未动</x:v>
      </x:c>
      <x:c r="T70" s="24" t="str">
        <x:v>PENDING</x:v>
      </x:c>
      <x:c r="U70" s="24" t="str"/>
      <x:c r="V70" s="24" t="str"/>
      <x:c r="W70" s="24" t="str"/>
    </x:row>
    <x:row r="71" ht="58" customHeight="1">
      <x:c r="A71" s="24" t="n">
        <x:v>70</x:v>
      </x:c>
      <x:c r="B71" s="24" t="str">
        <x:v>14项迁移补审（不在69内）</x:v>
      </x:c>
      <x:c r="C71" s="24" t="str">
        <x:v>建模表征</x:v>
      </x:c>
      <x:c r="D71" s="24" t="str">
        <x:v>两步变化的数轴模型</x:v>
      </x:c>
      <x:c r="E71" s="24" t="str">
        <x:v>bb376fbd-06c8-4604-91c9-4cc195567a49</x:v>
      </x:c>
      <x:c r="F71" s="24" t="str">
        <x:v>e02a5afe-f9ef-47a3-b0af-9f79d884a038</x:v>
      </x:c>
      <x:c r="G71" s="24" t="str">
        <x:v>V1 / number-line</x:v>
      </x:c>
      <x:c r="H71" s="24" t="n">
        <x:v>4</x:v>
      </x:c>
      <x:c r="I71" s="24" t="str">
        <x:v>公交车上原来有9个人，到第一站上来6人，到第二站下去4人。现在车上有多少人？</x:v>
      </x:c>
      <x:c r="J71" s="24" t="str">
        <x:v>能用连续数轴跳步表征两次方向不同的变化</x:v>
      </x:c>
      <x:c r="K71" s="24" t="str">
        <x:v>11</x:v>
      </x:c>
      <x:c r="L71" s="24" t="str">
        <x:v>9+6-4=11</x:v>
      </x:c>
      <x:c r="M71" s="24" t="str">
        <x:v>REVISION_REQUIRED</x:v>
      </x:c>
      <x:c r="N71" s="24" t="str">
        <x:v>数轴max扩大后，先加后减的合法中间态可达；V1提交仍按最终数值判分，不能单靠答对证明两步操作按原序完成。</x:v>
      </x:c>
      <x:c r="O71" s="24" t="str">
        <x:v>四级提示按教研口径确认；不得把高提示后的正确作答等同独立掌握。</x:v>
      </x:c>
      <x:c r="P71" s="24" t="str">
        <x:v>维持已修复刻度，作为两步数量变化题可使用；若主张过程策略掌握，需记录并校验首步增量、次步减量。</x:v>
      </x:c>
      <x:c r="Q71" s="24" t="str">
        <x:v>起点、每步跳向/步长、两步完整轨迹、终点；双皮肤验证保持。</x:v>
      </x:c>
      <x:c r="R71" s="24" t="str">
        <x:v>AXIS_TWO_STEP_FIX</x:v>
      </x:c>
      <x:c r="S71" s="24" t="str">
        <x:v>最新修复/解禁版；原审核结果不得自动继承</x:v>
      </x:c>
      <x:c r="T71" s="24" t="str">
        <x:v>PENDING</x:v>
      </x:c>
      <x:c r="U71" s="24" t="str"/>
      <x:c r="V71" s="24" t="str"/>
      <x:c r="W71" s="24" t="str"/>
    </x:row>
    <x:row r="72" ht="58" customHeight="1">
      <x:c r="A72" s="24" t="n">
        <x:v>71</x:v>
      </x:c>
      <x:c r="B72" s="24" t="str">
        <x:v>14项迁移补审（不在69内）</x:v>
      </x:c>
      <x:c r="C72" s="24" t="str">
        <x:v>策略选择</x:v>
      </x:c>
      <x:c r="D72" s="24" t="str">
        <x:v>先合起来再拿走</x:v>
      </x:c>
      <x:c r="E72" s="24" t="str">
        <x:v>76d49907-c092-4822-b0ea-344850970da0</x:v>
      </x:c>
      <x:c r="F72" s="24" t="str">
        <x:v>a7fc3314-72c6-4b58-998d-fa0111cd86fd</x:v>
      </x:c>
      <x:c r="G72" s="24" t="str">
        <x:v>V1 / number-line</x:v>
      </x:c>
      <x:c r="H72" s="24" t="n">
        <x:v>4</x:v>
      </x:c>
      <x:c r="I72" s="24" t="str">
        <x:v>停车场原来有8辆车，又开来5辆，后来开走4辆。现在停车场有多少辆车？</x:v>
      </x:c>
      <x:c r="J72" s="24" t="str">
        <x:v>能根据连续变化选择“先加后减”的两步策略</x:v>
      </x:c>
      <x:c r="K72" s="24" t="str">
        <x:v>9</x:v>
      </x:c>
      <x:c r="L72" s="24" t="str">
        <x:v>8+5-4=9</x:v>
      </x:c>
      <x:c r="M72" s="24" t="str">
        <x:v>REVISION_REQUIRED</x:v>
      </x:c>
      <x:c r="N72" s="24" t="str">
        <x:v>数轴max扩大后，先加后减的合法中间态可达；V1提交仍按最终数值判分，不能单靠答对证明两步操作按原序完成。</x:v>
      </x:c>
      <x:c r="O72" s="24" t="str">
        <x:v>四级提示按教研口径确认；不得把高提示后的正确作答等同独立掌握。</x:v>
      </x:c>
      <x:c r="P72" s="24" t="str">
        <x:v>维持已修复刻度，作为两步数量变化题可使用；若主张过程策略掌握，需记录并校验首步增量、次步减量。</x:v>
      </x:c>
      <x:c r="Q72" s="24" t="str">
        <x:v>起点、每步跳向/步长、两步完整轨迹、终点；双皮肤验证保持。</x:v>
      </x:c>
      <x:c r="R72" s="24" t="str">
        <x:v>AXIS_TWO_STEP_FIX</x:v>
      </x:c>
      <x:c r="S72" s="24" t="str">
        <x:v>最新修复/解禁版；原审核结果不得自动继承</x:v>
      </x:c>
      <x:c r="T72" s="24" t="str">
        <x:v>PENDING</x:v>
      </x:c>
      <x:c r="U72" s="24" t="str"/>
      <x:c r="V72" s="24" t="str"/>
      <x:c r="W72" s="24" t="str"/>
    </x:row>
    <x:row r="73" ht="58" customHeight="1">
      <x:c r="A73" s="24" t="n">
        <x:v>72</x:v>
      </x:c>
      <x:c r="B73" s="24" t="str">
        <x:v>14项迁移补审（不在69内）</x:v>
      </x:c>
      <x:c r="C73" s="24" t="str">
        <x:v>迁移观察</x:v>
      </x:c>
      <x:c r="D73" s="24" t="str">
        <x:v>换成书架的连续变化</x:v>
      </x:c>
      <x:c r="E73" s="24" t="str">
        <x:v>552b39e3-7127-4c2d-a506-628259bb08c7</x:v>
      </x:c>
      <x:c r="F73" s="24" t="str">
        <x:v>05a2649f-0f90-442c-aeeb-370545a7dc7b</x:v>
      </x:c>
      <x:c r="G73" s="24" t="str">
        <x:v>V1 / number-line</x:v>
      </x:c>
      <x:c r="H73" s="24" t="n">
        <x:v>5</x:v>
      </x:c>
      <x:c r="I73" s="24" t="str">
        <x:v>书架上原来有8本新书，老师又放上5本，后来同学借走4本。现在书架上有多少本书？</x:v>
      </x:c>
      <x:c r="J73" s="24" t="str">
        <x:v>把“先增加后减少”的两步策略迁移到新情境</x:v>
      </x:c>
      <x:c r="K73" s="24" t="str">
        <x:v>9</x:v>
      </x:c>
      <x:c r="L73" s="24" t="str">
        <x:v>8+5-4=9</x:v>
      </x:c>
      <x:c r="M73" s="24" t="str">
        <x:v>REVISION_REQUIRED</x:v>
      </x:c>
      <x:c r="N73" s="24" t="str">
        <x:v>数轴max扩大后，先加后减的合法中间态可达；V1提交仍按最终数值判分，不能单靠答对证明两步操作按原序完成。</x:v>
      </x:c>
      <x:c r="O73" s="24" t="str">
        <x:v>四级提示按教研口径确认；不得把高提示后的正确作答等同独立掌握。</x:v>
      </x:c>
      <x:c r="P73" s="24" t="str">
        <x:v>维持已修复刻度，作为两步数量变化题可使用；若主张过程策略掌握，需记录并校验首步增量、次步减量。</x:v>
      </x:c>
      <x:c r="Q73" s="24" t="str">
        <x:v>起点、每步跳向/步长、两步完整轨迹、终点；双皮肤验证保持。</x:v>
      </x:c>
      <x:c r="R73" s="24" t="str">
        <x:v>AXIS_TWO_STEP_FIX</x:v>
      </x:c>
      <x:c r="S73" s="24" t="str">
        <x:v>最新修复/解禁版；原审核结果不得自动继承</x:v>
      </x:c>
      <x:c r="T73" s="24" t="str">
        <x:v>PENDING</x:v>
      </x:c>
      <x:c r="U73" s="24" t="str"/>
      <x:c r="V73" s="24" t="str"/>
      <x:c r="W73" s="24" t="str"/>
    </x:row>
    <x:row r="74" ht="58" customHeight="1">
      <x:c r="A74" s="24" t="n">
        <x:v>73</x:v>
      </x:c>
      <x:c r="B74" s="24" t="str">
        <x:v>14项迁移补审（不在69内）</x:v>
      </x:c>
      <x:c r="C74" s="24" t="str">
        <x:v>数量关系</x:v>
      </x:c>
      <x:c r="D74" s="24" t="str">
        <x:v>数轴跳跳跳（V2链）</x:v>
      </x:c>
      <x:c r="E74" s="24" t="str">
        <x:v>e0a2a067-175b-480d-a614-e326212923f7</x:v>
      </x:c>
      <x:c r="F74" s="24" t="str">
        <x:v>8eb5de92-d04b-4d0a-abc5-eb2e58375fcd</x:v>
      </x:c>
      <x:c r="G74" s="24" t="str">
        <x:v>V2 / number-line</x:v>
      </x:c>
      <x:c r="H74" s="24" t="n">
        <x:v>3</x:v>
      </x:c>
      <x:c r="I74" s="24" t="str">
        <x:v>从20出发，每次向右跳5，跳3次，终点是多少？</x:v>
      </x:c>
      <x:c r="J74" s="24" t="str">
        <x:v>用数轴跳步表征等步长连续增加</x:v>
      </x:c>
      <x:c r="K74" s="24" t="str">
        <x:v>35</x:v>
      </x:c>
      <x:c r="L74" s="24" t="str">
        <x:v>20+5×3=35</x:v>
      </x:c>
      <x:c r="M74" s="24" t="str">
        <x:v>APPROVED_CANDIDATE</x:v>
      </x:c>
      <x:c r="N74" s="24" t="str">
        <x:v>FE-1455已声明jump_constraint并完成三态技术验证；合法轨迹可作为跳步过程依据。</x:v>
      </x:c>
      <x:c r="O74" s="24" t="str">
        <x:v>四级提示按教研口径确认；不得把高提示后的正确作答等同独立掌握。</x:v>
      </x:c>
      <x:c r="P74" s="24" t="str">
        <x:v>教研复核“每次+5，共3次”任务语言、提示逐级强度及二年级适龄性；同步新RVID教材签认。</x:v>
      </x:c>
      <x:c r="Q74" s="24" t="str">
        <x:v>20→25→30→35轨迹，错过程即使终点35也不得判合法；旧数轴兼容。</x:v>
      </x:c>
      <x:c r="R74" s="24" t="str">
        <x:v>JUMP_PROCESS_POST_FIX</x:v>
      </x:c>
      <x:c r="S74" s="24" t="str">
        <x:v>最新修复/解禁版；原审核结果不得自动继承</x:v>
      </x:c>
      <x:c r="T74" s="24" t="str">
        <x:v>PENDING</x:v>
      </x:c>
      <x:c r="U74" s="24" t="str"/>
      <x:c r="V74" s="24" t="str"/>
      <x:c r="W74" s="24" t="str"/>
    </x:row>
  </x:sheetData>
  <x:conditionalFormatting sqref="M2:M74">
    <x:cfRule type="expression" dxfId="0" priority="1">
      <x:formula>M2="REVISION_REQUIRED"</x:formula>
    </x:cfRule>
    <x:cfRule type="expression" dxfId="1" priority="2">
      <x:formula>M2="APPROVED_CANDIDATE"</x:formula>
    </x:cfRule>
  </x:conditionalFormatting>
  <x:dataValidations count="1">
    <x:dataValidation type="list" sqref="T2:T74">
      <x:formula1>"PENDING,APPROVED,REVISION_REQUIRED,REJECTED"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88872f6ee548d3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22" hidden="0" customWidth="1"/>
    <x:col min="3" max="3" width="37" hidden="0" customWidth="1"/>
    <x:col min="4" max="4" width="12" hidden="0" customWidth="1"/>
    <x:col min="5" max="5" width="48" hidden="0" customWidth="1"/>
    <x:col min="6" max="6" width="48" hidden="0" customWidth="1"/>
    <x:col min="7" max="7" width="48" hidden="0" customWidth="1"/>
    <x:col min="8" max="8" width="48" hidden="0" customWidth="1"/>
    <x:col min="9" max="9" width="49" hidden="0" customWidth="1"/>
    <x:col min="10" max="10" width="19" hidden="0" customWidth="1"/>
  </x:cols>
  <x:sheetData>
    <x:row r="1" ht="30" customHeight="1">
      <x:c r="A1" s="17" t="str">
        <x:v>序号</x:v>
      </x:c>
      <x:c r="B1" s="17" t="str">
        <x:v>题号</x:v>
      </x:c>
      <x:c r="C1" s="17" t="str">
        <x:v>当前RVID</x:v>
      </x:c>
      <x:c r="D1" s="17" t="str">
        <x:v>能力</x:v>
      </x:c>
      <x:c r="E1" s="17" t="str">
        <x:v>Hint 1</x:v>
      </x:c>
      <x:c r="F1" s="17" t="str">
        <x:v>Hint 2</x:v>
      </x:c>
      <x:c r="G1" s="17" t="str">
        <x:v>Hint 3</x:v>
      </x:c>
      <x:c r="H1" s="17" t="str">
        <x:v>Hint 4</x:v>
      </x:c>
      <x:c r="I1" s="17" t="str">
        <x:v>AI提示风险评价</x:v>
      </x:c>
      <x:c r="J1" s="17" t="str">
        <x:v>教研审查状态</x:v>
      </x:c>
    </x:row>
    <x:row r="2" ht="70" customHeight="1">
      <x:c r="A2" s="24" t="n">
        <x:v>1</x:v>
      </x:c>
      <x:c r="B2" s="24" t="str">
        <x:v>V14-P0-086</x:v>
      </x:c>
      <x:c r="C2" s="24" t="str">
        <x:v>b0b699be-3ffe-4f42-b15e-6b8dbe5603fa</x:v>
      </x:c>
      <x:c r="D2" s="24" t="str">
        <x:v>检查验算</x:v>
      </x:c>
      <x:c r="E2" s="24" t="str">
        <x:v>先观察点阵的疏密和大小，别急着逐一点数。</x:v>
      </x:c>
      <x:c r="F2" s="24" t="str">
        <x:v>想想它更靠近哪个整十参照数。</x:v>
      </x:c>
      <x:c r="G2" s="24" t="str">
        <x:v>移动连续滑条到你认为合理的位置。</x:v>
      </x:c>
      <x:c r="H2" s="24" t="str">
        <x:v>比较估计与参照数的距离，检查有没有明显高估或低估。</x:v>
      </x:c>
      <x:c r="I2" s="24" t="str">
        <x:v>尚无直接泄题的静态结论；需教研按四级提示逐句确认。</x:v>
      </x:c>
      <x:c r="J2" s="24" t="str">
        <x:v>PENDING</x:v>
      </x:c>
    </x:row>
    <x:row r="3" ht="70" customHeight="1">
      <x:c r="A3" s="24" t="n">
        <x:v>2</x:v>
      </x:c>
      <x:c r="B3" s="24" t="str">
        <x:v>V14-P0-126</x:v>
      </x:c>
      <x:c r="C3" s="24" t="str">
        <x:v>770ab57a-a1e2-4c78-8a9e-d89db4559ce9</x:v>
      </x:c>
      <x:c r="D3" s="24" t="str">
        <x:v>检查验算</x:v>
      </x:c>
      <x:c r="E3" s="24" t="str">
        <x:v>先对齐线段的左右两个端点。</x:v>
      </x:c>
      <x:c r="F3" s="24" t="str">
        <x:v>找到各端点对应的刻度，不要直接照抄较大刻度。</x:v>
      </x:c>
      <x:c r="G3" s="24" t="str">
        <x:v>想想两刻度之间隔着多少个单位区间。</x:v>
      </x:c>
      <x:c r="H3" s="24" t="str">
        <x:v>用终点刻度减起点刻度，再与网格区间数核对。</x:v>
      </x:c>
      <x:c r="I3" s="24" t="str">
        <x:v>尚无直接泄题的静态结论；需教研按四级提示逐句确认。</x:v>
      </x:c>
      <x:c r="J3" s="24" t="str">
        <x:v>PENDING</x:v>
      </x:c>
    </x:row>
    <x:row r="4" ht="70" customHeight="1">
      <x:c r="A4" s="24" t="n">
        <x:v>3</x:v>
      </x:c>
      <x:c r="B4" s="24" t="str">
        <x:v>V14-P0-082</x:v>
      </x:c>
      <x:c r="C4" s="24" t="str">
        <x:v>48817fba-ee0d-4101-8cb2-9ac5b4e66b91</x:v>
      </x:c>
      <x:c r="D4" s="24" t="str">
        <x:v>检查验算</x:v>
      </x:c>
      <x:c r="E4" s="24" t="str">
        <x:v>先观察点阵的疏密和大小，别急着逐一点数。</x:v>
      </x:c>
      <x:c r="F4" s="24" t="str">
        <x:v>想想它更靠近哪个整十参照数。</x:v>
      </x:c>
      <x:c r="G4" s="24" t="str">
        <x:v>移动连续滑条到你认为合理的位置。</x:v>
      </x:c>
      <x:c r="H4" s="24" t="str">
        <x:v>比较估计与参照数的距离，检查有没有明显高估或低估。</x:v>
      </x:c>
      <x:c r="I4" s="24" t="str">
        <x:v>尚无直接泄题的静态结论；需教研按四级提示逐句确认。</x:v>
      </x:c>
      <x:c r="J4" s="24" t="str">
        <x:v>PENDING</x:v>
      </x:c>
    </x:row>
    <x:row r="5" ht="70" customHeight="1">
      <x:c r="A5" s="24" t="n">
        <x:v>4</x:v>
      </x:c>
      <x:c r="B5" s="24" t="str">
        <x:v>V14-P0-122</x:v>
      </x:c>
      <x:c r="C5" s="24" t="str">
        <x:v>e721a4c5-cee3-4660-9a4c-f33503bacaa6</x:v>
      </x:c>
      <x:c r="D5" s="24" t="str">
        <x:v>检查验算</x:v>
      </x:c>
      <x:c r="E5" s="24" t="str">
        <x:v>先对齐线段的左右两个端点。</x:v>
      </x:c>
      <x:c r="F5" s="24" t="str">
        <x:v>找到各端点对应的刻度，不要直接照抄较大刻度。</x:v>
      </x:c>
      <x:c r="G5" s="24" t="str">
        <x:v>想想两刻度之间隔着多少个单位区间。</x:v>
      </x:c>
      <x:c r="H5" s="24" t="str">
        <x:v>用终点刻度减起点刻度，再与网格区间数核对。</x:v>
      </x:c>
      <x:c r="I5" s="24" t="str">
        <x:v>尚无直接泄题的静态结论；需教研按四级提示逐句确认。</x:v>
      </x:c>
      <x:c r="J5" s="24" t="str">
        <x:v>PENDING</x:v>
      </x:c>
    </x:row>
    <x:row r="6" ht="70" customHeight="1">
      <x:c r="A6" s="24" t="n">
        <x:v>5</x:v>
      </x:c>
      <x:c r="B6" s="24" t="str">
        <x:v>V14-P0-096</x:v>
      </x:c>
      <x:c r="C6" s="24" t="str">
        <x:v>6446cda3-e53b-496d-9f8d-c1f758d2f743</x:v>
      </x:c>
      <x:c r="D6" s="24" t="str">
        <x:v>条件识别</x:v>
      </x:c>
      <x:c r="E6" s="24" t="str">
        <x:v>先认真看每张图形卡的边和角。</x:v>
      </x:c>
      <x:c r="F6" s="24" t="str">
        <x:v>找出题目指定的图形类别，再一张张判断。</x:v>
      </x:c>
      <x:c r="G6" s="24" t="str">
        <x:v>同类卡片放进同一组，其他类别不要混入。</x:v>
      </x:c>
      <x:c r="H6" s="24" t="str">
        <x:v>归类结束后数一数目标组里的图形卡。</x:v>
      </x:c>
      <x:c r="I6" s="24" t="str">
        <x:v>尚无直接泄题的静态结论；需教研按四级提示逐句确认。 ACCESS-01读屏可识别性未验收。</x:v>
      </x:c>
      <x:c r="J6" s="24" t="str">
        <x:v>PENDING</x:v>
      </x:c>
    </x:row>
    <x:row r="7" ht="70" customHeight="1">
      <x:c r="A7" s="24" t="n">
        <x:v>6</x:v>
      </x:c>
      <x:c r="B7" s="24" t="str">
        <x:v>给正方形找一个家</x:v>
      </x:c>
      <x:c r="C7" s="24" t="str">
        <x:v>b0e607c7-add5-4372-9671-78ec108282fd</x:v>
      </x:c>
      <x:c r="D7" s="24" t="str">
        <x:v>条件识别</x:v>
      </x:c>
      <x:c r="E7" s="24" t="str">
        <x:v>正方形和长方形哪里不一样？数一数它们的边。</x:v>
      </x:c>
      <x:c r="F7" s="24" t="str">
        <x:v>正方形的四条边都一样长，长方形有两条长、两条短。</x:v>
      </x:c>
      <x:c r="G7" s="24" t="str">
        <x:v>先把四条边一样长的图形挑出来拿在手里。</x:v>
      </x:c>
      <x:c r="H7" s="24" t="str">
        <x:v>红、绿、紫三个图形四条边都一样长——把它们都送回家再数。</x:v>
      </x:c>
      <x:c r="I7" s="24" t="str">
        <x:v>L4为最终结果/具体卡片时需标记重度提示，不可作为独立掌握正证。 ACCESS-01读屏可识别性未验收。</x:v>
      </x:c>
      <x:c r="J7" s="24" t="str">
        <x:v>PENDING</x:v>
      </x:c>
    </x:row>
    <x:row r="8" ht="70" customHeight="1">
      <x:c r="A8" s="24" t="n">
        <x:v>7</x:v>
      </x:c>
      <x:c r="B8" s="24" t="str">
        <x:v>把钟拨到 6 点</x:v>
      </x:c>
      <x:c r="C8" s="24" t="str">
        <x:v>814b32f1-a3ac-4d7c-9ae2-6c39fbd6c84f</x:v>
      </x:c>
      <x:c r="D8" s="24" t="str">
        <x:v>条件识别</x:v>
      </x:c>
      <x:c r="E8" s="24" t="str">
        <x:v>6 点的时候，短针指着几？长针呢？</x:v>
      </x:c>
      <x:c r="F8" s="24" t="str">
        <x:v>整点时**长针一定指 12**——现在长针已经指 12 了，不用动。</x:v>
      </x:c>
      <x:c r="G8" s="24" t="str">
        <x:v>只要把短针拨到 6：点钟面上的 6。</x:v>
      </x:c>
      <x:c r="H8" s="24" t="str">
        <x:v>6 点=从 12 走了 6 大格，每大格 60 分钟：6×60=360。</x:v>
      </x:c>
      <x:c r="I8" s="24" t="str">
        <x:v>L4为最终结果/具体卡片时需标记重度提示，不可作为独立掌握正证。</x:v>
      </x:c>
      <x:c r="J8" s="24" t="str">
        <x:v>PENDING</x:v>
      </x:c>
    </x:row>
    <x:row r="9" ht="70" customHeight="1">
      <x:c r="A9" s="24" t="n">
        <x:v>8</x:v>
      </x:c>
      <x:c r="B9" s="24" t="str">
        <x:v>V14-P0-092</x:v>
      </x:c>
      <x:c r="C9" s="24" t="str">
        <x:v>905207e0-0ef5-4d1c-bb6a-2aa71f6adfe3</x:v>
      </x:c>
      <x:c r="D9" s="24" t="str">
        <x:v>条件识别</x:v>
      </x:c>
      <x:c r="E9" s="24" t="str">
        <x:v>先认真看每张图形卡的边和角。</x:v>
      </x:c>
      <x:c r="F9" s="24" t="str">
        <x:v>找出题目指定的图形类别，再一张张判断。</x:v>
      </x:c>
      <x:c r="G9" s="24" t="str">
        <x:v>同类卡片放进同一组，其他类别不要混入。</x:v>
      </x:c>
      <x:c r="H9" s="24" t="str">
        <x:v>归类结束后数一数目标组里的图形卡。</x:v>
      </x:c>
      <x:c r="I9" s="24" t="str">
        <x:v>尚无直接泄题的静态结论；需教研按四级提示逐句确认。 ACCESS-01读屏可识别性未验收。</x:v>
      </x:c>
      <x:c r="J9" s="24" t="str">
        <x:v>PENDING</x:v>
      </x:c>
    </x:row>
    <x:row r="10" ht="70" customHeight="1">
      <x:c r="A10" s="24" t="n">
        <x:v>9</x:v>
      </x:c>
      <x:c r="B10" s="24" t="str">
        <x:v>V14-P0-103</x:v>
      </x:c>
      <x:c r="C10" s="24" t="str">
        <x:v>12f89452-ad38-4c24-af5d-d734f5b4c43b</x:v>
      </x:c>
      <x:c r="D10" s="24" t="str">
        <x:v>条件识别</x:v>
      </x:c>
      <x:c r="E10" s="24" t="str">
        <x:v>先观察网格每个小格代表的面积。</x:v>
      </x:c>
      <x:c r="F10" s="24" t="str">
        <x:v>考虑长方形的长和宽，或三角形的底和高。</x:v>
      </x:c>
      <x:c r="G10" s="24" t="str">
        <x:v>保持图形的边界闭合，不要越出画布。</x:v>
      </x:c>
      <x:c r="H10" s="24" t="str">
        <x:v>用对应面积计算方法核对所画图形，检查单位是平方格。</x:v>
      </x:c>
      <x:c r="I10" s="24" t="str">
        <x:v>尚无直接泄题的静态结论；需教研按四级提示逐句确认。</x:v>
      </x:c>
      <x:c r="J10" s="24" t="str">
        <x:v>PENDING</x:v>
      </x:c>
    </x:row>
    <x:row r="11" ht="70" customHeight="1">
      <x:c r="A11" s="24" t="n">
        <x:v>10</x:v>
      </x:c>
      <x:c r="B11" s="24" t="str">
        <x:v>V14-P0-094</x:v>
      </x:c>
      <x:c r="C11" s="24" t="str">
        <x:v>4821e8a3-dadd-4dcb-8660-f0d1fb9ad465</x:v>
      </x:c>
      <x:c r="D11" s="24" t="str">
        <x:v>条件识别</x:v>
      </x:c>
      <x:c r="E11" s="24" t="str">
        <x:v>先认真看每张图形卡的边和角。</x:v>
      </x:c>
      <x:c r="F11" s="24" t="str">
        <x:v>找出题目指定的图形类别，再一张张判断。</x:v>
      </x:c>
      <x:c r="G11" s="24" t="str">
        <x:v>同类卡片放进同一组，其他类别不要混入。</x:v>
      </x:c>
      <x:c r="H11" s="24" t="str">
        <x:v>归类结束后数一数目标组里的图形卡。</x:v>
      </x:c>
      <x:c r="I11" s="24" t="str">
        <x:v>尚无直接泄题的静态结论；需教研按四级提示逐句确认。 ACCESS-01读屏可识别性未验收。</x:v>
      </x:c>
      <x:c r="J11" s="24" t="str">
        <x:v>PENDING</x:v>
      </x:c>
    </x:row>
    <x:row r="12" ht="70" customHeight="1">
      <x:c r="A12" s="24" t="n">
        <x:v>11</x:v>
      </x:c>
      <x:c r="B12" s="24" t="str">
        <x:v>V14-P0-090</x:v>
      </x:c>
      <x:c r="C12" s="24" t="str">
        <x:v>31554b60-52f5-4f51-86ee-04aea3d09c08</x:v>
      </x:c>
      <x:c r="D12" s="24" t="str">
        <x:v>条件识别</x:v>
      </x:c>
      <x:c r="E12" s="24" t="str">
        <x:v>先认真看每张图形卡的边和角。</x:v>
      </x:c>
      <x:c r="F12" s="24" t="str">
        <x:v>找出题目指定的图形类别，再一张张判断。</x:v>
      </x:c>
      <x:c r="G12" s="24" t="str">
        <x:v>同类卡片放进同一组，其他类别不要混入。</x:v>
      </x:c>
      <x:c r="H12" s="24" t="str">
        <x:v>归类结束后数一数目标组里的图形卡。</x:v>
      </x:c>
      <x:c r="I12" s="24" t="str">
        <x:v>尚无直接泄题的静态结论；需教研按四级提示逐句确认。 ACCESS-01读屏可识别性未验收。</x:v>
      </x:c>
      <x:c r="J12" s="24" t="str">
        <x:v>PENDING</x:v>
      </x:c>
    </x:row>
    <x:row r="13" ht="70" customHeight="1">
      <x:c r="A13" s="24" t="n">
        <x:v>12</x:v>
      </x:c>
      <x:c r="B13" s="24" t="str">
        <x:v>画条形图算一共（V2 链 R02）</x:v>
      </x:c>
      <x:c r="C13" s="24" t="str">
        <x:v>98bb0ca7-74dc-4c24-aba0-abe0e4a37c2c</x:v>
      </x:c>
      <x:c r="D13" s="24" t="str">
        <x:v>建模表征</x:v>
      </x:c>
      <x:c r="E13" s="24" t="str">
        <x:v>题目里红星星和黄星星各有几颗？先把这两根条摆出来。</x:v>
      </x:c>
      <x:c r="F13" s="24" t="str">
        <x:v>整体条要跟什么一样长？和两根部分加起来一样长。</x:v>
      </x:c>
      <x:c r="G13" s="24" t="str">
        <x:v>5 加 3 等于几？整体条就摆几格。</x:v>
      </x:c>
      <x:c r="H13" s="24" t="str">
        <x:v>数一数你的整体条：是不是从开头到末尾正好 8 格？</x:v>
      </x:c>
      <x:c r="I13" s="24" t="str">
        <x:v>尚无直接泄题的静态结论；需教研按四级提示逐句确认。</x:v>
      </x:c>
      <x:c r="J13" s="24" t="str">
        <x:v>PENDING</x:v>
      </x:c>
    </x:row>
    <x:row r="14" ht="70" customHeight="1">
      <x:c r="A14" s="24" t="n">
        <x:v>13</x:v>
      </x:c>
      <x:c r="B14" s="24" t="str">
        <x:v>排队做操（V2 链 R08）</x:v>
      </x:c>
      <x:c r="C14" s="24" t="str">
        <x:v>5d41bfd4-bc9b-4c54-b454-2413041fa1bf</x:v>
      </x:c>
      <x:c r="D14" s="24" t="str">
        <x:v>建模表征</x:v>
      </x:c>
      <x:c r="E14" s="24" t="str">
        <x:v>做操的队：横着一排一排站，有几排？</x:v>
      </x:c>
      <x:c r="F14" s="24" t="str">
        <x:v>题目说站了3排——先加到3行。</x:v>
      </x:c>
      <x:c r="G14" s="24" t="str">
        <x:v>每排站4人，就是竖着一列一列有4个。</x:v>
      </x:c>
      <x:c r="H14" s="24" t="str">
        <x:v>3 行 4 列：一行一行数，4、8、12……</x:v>
      </x:c>
      <x:c r="I14" s="24" t="str">
        <x:v>尚无直接泄题的静态结论；需教研按四级提示逐句确认。</x:v>
      </x:c>
      <x:c r="J14" s="24" t="str">
        <x:v>PENDING</x:v>
      </x:c>
    </x:row>
    <x:row r="15" ht="70" customHeight="1">
      <x:c r="A15" s="24" t="n">
        <x:v>14</x:v>
      </x:c>
      <x:c r="B15" s="24" t="str">
        <x:v>书架上大约有多少本书</x:v>
      </x:c>
      <x:c r="C15" s="24" t="str">
        <x:v>cd7f008d-9637-4960-a4df-03684cce3e5a</x:v>
      </x:c>
      <x:c r="D15" s="24" t="str">
        <x:v>建模表征</x:v>
      </x:c>
      <x:c r="E15" s="24" t="str">
        <x:v>先看看那一摞 10 本有多高，再比一比书架上的高度。</x:v>
      </x:c>
      <x:c r="F15" s="24" t="str">
        <x:v>书架上的书摞起来大约有几个'一摞10本'那么高？</x:v>
      </x:c>
      <x:c r="G15" s="24" t="str">
        <x:v>比 3 摞多一点、比 4 摞少一点——3 摞是 30，4 摞是 40，你估哪个更接近？</x:v>
      </x:c>
      <x:c r="H15" s="24" t="str">
        <x:v>估算要估到最接近的整十：想一想 38 离 30 近还是离 40 近？</x:v>
      </x:c>
      <x:c r="I15" s="24" t="str">
        <x:v>尚无直接泄题的静态结论；需教研按四级提示逐句确认。</x:v>
      </x:c>
      <x:c r="J15" s="24" t="str">
        <x:v>PENDING</x:v>
      </x:c>
    </x:row>
    <x:row r="16" ht="70" customHeight="1">
      <x:c r="A16" s="24" t="n">
        <x:v>15</x:v>
      </x:c>
      <x:c r="B16" s="24" t="str">
        <x:v>V14-P0-006</x:v>
      </x:c>
      <x:c r="C16" s="24" t="str">
        <x:v>855de461-b22d-41c2-b3bd-5d03976965c8</x:v>
      </x:c>
      <x:c r="D16" s="24" t="str">
        <x:v>读题理解</x:v>
      </x:c>
      <x:c r="E16" s="24" t="str">
        <x:v>先分清两组物品，看看它们各有多少。</x:v>
      </x:c>
      <x:c r="F16" s="24" t="str">
        <x:v>可以先数第一组，再接着数第二组。</x:v>
      </x:c>
      <x:c r="G16" s="24" t="str">
        <x:v>移动物品时一次只增加一个，不要漏数或重复数。</x:v>
      </x:c>
      <x:c r="H16" s="24" t="str">
        <x:v>完成摆放后从头复数一遍，用合并后的数量核对输入。</x:v>
      </x:c>
      <x:c r="I16" s="24" t="str">
        <x:v>尚无直接泄题的静态结论；需教研按四级提示逐句确认。</x:v>
      </x:c>
      <x:c r="J16" s="24" t="str">
        <x:v>PENDING</x:v>
      </x:c>
    </x:row>
    <x:row r="17" ht="70" customHeight="1">
      <x:c r="A17" s="24" t="n">
        <x:v>16</x:v>
      </x:c>
      <x:c r="B17" s="24" t="str">
        <x:v>V14-P0-046</x:v>
      </x:c>
      <x:c r="C17" s="24" t="str">
        <x:v>e479b6ef-c53b-45e7-ae44-e7c5077028e3</x:v>
      </x:c>
      <x:c r="D17" s="24" t="str">
        <x:v>读题理解</x:v>
      </x:c>
      <x:c r="E17" s="24" t="str">
        <x:v>先观察十格框中已经亮起了几个格子。</x:v>
      </x:c>
      <x:c r="F17" s="24" t="str">
        <x:v>想想还需要添多少格才能满足任务。</x:v>
      </x:c>
      <x:c r="G17" s="24" t="str">
        <x:v>从左到右、从上到下依次填入圆点。</x:v>
      </x:c>
      <x:c r="H17" s="24" t="str">
        <x:v>完成后用五格一组的方法重新核对总数。</x:v>
      </x:c>
      <x:c r="I17" s="24" t="str">
        <x:v>尚无直接泄题的静态结论；需教研按四级提示逐句确认。</x:v>
      </x:c>
      <x:c r="J17" s="24" t="str">
        <x:v>PENDING</x:v>
      </x:c>
    </x:row>
    <x:row r="18" ht="70" customHeight="1">
      <x:c r="A18" s="24" t="n">
        <x:v>17</x:v>
      </x:c>
      <x:c r="B18" s="24" t="str">
        <x:v>V14-P0-091</x:v>
      </x:c>
      <x:c r="C18" s="24" t="str">
        <x:v>3f97f749-deb5-4bf7-a14b-c2eb1b71c89f</x:v>
      </x:c>
      <x:c r="D18" s="24" t="str">
        <x:v>读题理解</x:v>
      </x:c>
      <x:c r="E18" s="24" t="str">
        <x:v>先认真看每张图形卡的边和角。</x:v>
      </x:c>
      <x:c r="F18" s="24" t="str">
        <x:v>找出题目指定的图形类别，再一张张判断。</x:v>
      </x:c>
      <x:c r="G18" s="24" t="str">
        <x:v>同类卡片放进同一组，其他类别不要混入。</x:v>
      </x:c>
      <x:c r="H18" s="24" t="str">
        <x:v>归类结束后数一数目标组里的图形卡。</x:v>
      </x:c>
      <x:c r="I18" s="24" t="str">
        <x:v>尚无直接泄题的静态结论；需教研按四级提示逐句确认。</x:v>
      </x:c>
      <x:c r="J18" s="24" t="str">
        <x:v>PENDING</x:v>
      </x:c>
    </x:row>
    <x:row r="19" ht="70" customHeight="1">
      <x:c r="A19" s="24" t="n">
        <x:v>18</x:v>
      </x:c>
      <x:c r="B19" s="24" t="str">
        <x:v>数字卡回家（V2 链 R06）</x:v>
      </x:c>
      <x:c r="C19" s="24" t="str">
        <x:v>9d0d3a7e-57f6-4602-ab4d-1ead6affb26e</x:v>
      </x:c>
      <x:c r="D19" s="24" t="str">
        <x:v>读题理解</x:v>
      </x:c>
      <x:c r="E19" s="24" t="str">
        <x:v>352 的百位是几？把那张卡拿起来。</x:v>
      </x:c>
      <x:c r="F19" s="24" t="str">
        <x:v>拿起 3，点百位框。十位和个位还差谁？</x:v>
      </x:c>
      <x:c r="G19" s="24" t="str">
        <x:v>十位是 5，个位是 2——顺序别站反啦。</x:v>
      </x:c>
      <x:c r="H19" s="24" t="str">
        <x:v>从百位读到个位：三百…再读下去是什么？</x:v>
      </x:c>
      <x:c r="I19" s="24" t="str">
        <x:v>尚无直接泄题的静态结论；需教研按四级提示逐句确认。</x:v>
      </x:c>
      <x:c r="J19" s="24" t="str">
        <x:v>PENDING</x:v>
      </x:c>
    </x:row>
    <x:row r="20" ht="70" customHeight="1">
      <x:c r="A20" s="24" t="n">
        <x:v>19</x:v>
      </x:c>
      <x:c r="B20" s="24" t="str">
        <x:v>把数字卡从小到大排好</x:v>
      </x:c>
      <x:c r="C20" s="24" t="str">
        <x:v>6cf420db-b161-491a-99bd-5d08807bec66</x:v>
      </x:c>
      <x:c r="D20" s="24" t="str">
        <x:v>读题理解</x:v>
      </x:c>
      <x:c r="E20" s="24" t="str">
        <x:v>从小到大排——先找四个数里最小的那个。</x:v>
      </x:c>
      <x:c r="F20" s="24" t="str">
        <x:v>7、1、4、2 里谁最小？别看字多大，看数字是几。</x:v>
      </x:c>
      <x:c r="G20" s="24" t="str">
        <x:v>1 最小排第一，然后 2、4、7——现在 2 和 7 站错了地方。</x:v>
      </x:c>
      <x:c r="H20" s="24" t="str">
        <x:v>点 7 再点 1 交换，点 4 再点 2 交换，就是 1、2、4、7 啦。</x:v>
      </x:c>
      <x:c r="I20" s="24" t="str">
        <x:v>L4为最终结果/具体卡片时需标记重度提示，不可作为独立掌握正证。</x:v>
      </x:c>
      <x:c r="J20" s="24" t="str">
        <x:v>PENDING</x:v>
      </x:c>
    </x:row>
    <x:row r="21" ht="70" customHeight="1">
      <x:c r="A21" s="24" t="n">
        <x:v>20</x:v>
      </x:c>
      <x:c r="B21" s="24" t="str">
        <x:v>V14-P0-042</x:v>
      </x:c>
      <x:c r="C21" s="24" t="str">
        <x:v>6385e11e-3b06-42df-b8ed-80666ec64c65</x:v>
      </x:c>
      <x:c r="D21" s="24" t="str">
        <x:v>读题理解</x:v>
      </x:c>
      <x:c r="E21" s="24" t="str">
        <x:v>先观察十格框中已经亮起了几个格子。</x:v>
      </x:c>
      <x:c r="F21" s="24" t="str">
        <x:v>想想还需要添多少格才能满足任务。</x:v>
      </x:c>
      <x:c r="G21" s="24" t="str">
        <x:v>从左到右、从上到下依次填入圆点。</x:v>
      </x:c>
      <x:c r="H21" s="24" t="str">
        <x:v>完成后用五格一组的方法重新核对总数。</x:v>
      </x:c>
      <x:c r="I21" s="24" t="str">
        <x:v>尚无直接泄题的静态结论；需教研按四级提示逐句确认。</x:v>
      </x:c>
      <x:c r="J21" s="24" t="str">
        <x:v>PENDING</x:v>
      </x:c>
    </x:row>
    <x:row r="22" ht="70" customHeight="1">
      <x:c r="A22" s="24" t="n">
        <x:v>21</x:v>
      </x:c>
      <x:c r="B22" s="24" t="str">
        <x:v>V14-P0-002</x:v>
      </x:c>
      <x:c r="C22" s="24" t="str">
        <x:v>24a50da9-303b-41b0-9bb4-6c10797f7c70</x:v>
      </x:c>
      <x:c r="D22" s="24" t="str">
        <x:v>读题理解</x:v>
      </x:c>
      <x:c r="E22" s="24" t="str">
        <x:v>先分清两组物品，看看它们各有多少。</x:v>
      </x:c>
      <x:c r="F22" s="24" t="str">
        <x:v>可以先数第一组，再接着数第二组。</x:v>
      </x:c>
      <x:c r="G22" s="24" t="str">
        <x:v>移动物品时一次只增加一个，不要漏数或重复数。</x:v>
      </x:c>
      <x:c r="H22" s="24" t="str">
        <x:v>完成摆放后从头复数一遍，用合并后的数量核对输入。</x:v>
      </x:c>
      <x:c r="I22" s="24" t="str">
        <x:v>尚无直接泄题的静态结论；需教研按四级提示逐句确认。</x:v>
      </x:c>
      <x:c r="J22" s="24" t="str">
        <x:v>PENDING</x:v>
      </x:c>
    </x:row>
    <x:row r="23" ht="70" customHeight="1">
      <x:c r="A23" s="24" t="n">
        <x:v>22</x:v>
      </x:c>
      <x:c r="B23" s="24" t="str">
        <x:v>V14-P0-037</x:v>
      </x:c>
      <x:c r="C23" s="24" t="str">
        <x:v>4936b35f-a5dc-44d4-9b2e-e58c6f3b7c0e</x:v>
      </x:c>
      <x:c r="D23" s="24" t="str">
        <x:v>读题理解</x:v>
      </x:c>
      <x:c r="E23" s="24" t="str">
        <x:v>先看看每个数字卡分别有哪些数码。</x:v>
      </x:c>
      <x:c r="F23" s="24" t="str">
        <x:v>百位、十位、个位的顺序不能颠倒。</x:v>
      </x:c>
      <x:c r="G23" s="24" t="str">
        <x:v>数位上的0也要占位置，不能省略。</x:v>
      </x:c>
      <x:c r="H23" s="24" t="str">
        <x:v>由高位到低位读一遍摆好的卡，核对题目给出的位值条件。</x:v>
      </x:c>
      <x:c r="I23" s="24" t="str">
        <x:v>尚无直接泄题的静态结论；需教研按四级提示逐句确认。</x:v>
      </x:c>
      <x:c r="J23" s="24" t="str">
        <x:v>PENDING</x:v>
      </x:c>
    </x:row>
    <x:row r="24" ht="70" customHeight="1">
      <x:c r="A24" s="24" t="n">
        <x:v>23</x:v>
      </x:c>
      <x:c r="B24" s="24" t="str">
        <x:v>V14-P0-033</x:v>
      </x:c>
      <x:c r="C24" s="24" t="str">
        <x:v>cbcf5a5d-a88c-4463-b5ec-1aed74e17cce</x:v>
      </x:c>
      <x:c r="D24" s="24" t="str">
        <x:v>读题理解</x:v>
      </x:c>
      <x:c r="E24" s="24" t="str">
        <x:v>先看看每个数字卡分别有哪些数码。</x:v>
      </x:c>
      <x:c r="F24" s="24" t="str">
        <x:v>百位、十位、个位的顺序不能颠倒。</x:v>
      </x:c>
      <x:c r="G24" s="24" t="str">
        <x:v>数位上的0也要占位置，不能省略。</x:v>
      </x:c>
      <x:c r="H24" s="24" t="str">
        <x:v>由高位到低位读一遍摆好的卡，核对题目给出的位值条件。</x:v>
      </x:c>
      <x:c r="I24" s="24" t="str">
        <x:v>尚无直接泄题的静态结论；需教研按四级提示逐句确认。</x:v>
      </x:c>
      <x:c r="J24" s="24" t="str">
        <x:v>PENDING</x:v>
      </x:c>
    </x:row>
    <x:row r="25" ht="70" customHeight="1">
      <x:c r="A25" s="24" t="n">
        <x:v>24</x:v>
      </x:c>
      <x:c r="B25" s="24" t="str">
        <x:v>V14-P0-093</x:v>
      </x:c>
      <x:c r="C25" s="24" t="str">
        <x:v>fb895a6f-12c0-4d1d-987e-ffab90d31989</x:v>
      </x:c>
      <x:c r="D25" s="24" t="str">
        <x:v>读题理解</x:v>
      </x:c>
      <x:c r="E25" s="24" t="str">
        <x:v>先认真看每张图形卡的边和角。</x:v>
      </x:c>
      <x:c r="F25" s="24" t="str">
        <x:v>找出题目指定的图形类别，再一张张判断。</x:v>
      </x:c>
      <x:c r="G25" s="24" t="str">
        <x:v>同类卡片放进同一组，其他类别不要混入。</x:v>
      </x:c>
      <x:c r="H25" s="24" t="str">
        <x:v>归类结束后数一数目标组里的图形卡。</x:v>
      </x:c>
      <x:c r="I25" s="24" t="str">
        <x:v>尚无直接泄题的静态结论；需教研按四级提示逐句确认。</x:v>
      </x:c>
      <x:c r="J25" s="24" t="str">
        <x:v>PENDING</x:v>
      </x:c>
    </x:row>
    <x:row r="26" ht="70" customHeight="1">
      <x:c r="A26" s="24" t="n">
        <x:v>25</x:v>
      </x:c>
      <x:c r="B26" s="24" t="str">
        <x:v>V14-P0-039</x:v>
      </x:c>
      <x:c r="C26" s="24" t="str">
        <x:v>e1393f3d-2a02-4eba-b02e-5be1ee9b6a54</x:v>
      </x:c>
      <x:c r="D26" s="24" t="str">
        <x:v>读题理解</x:v>
      </x:c>
      <x:c r="E26" s="24" t="str">
        <x:v>先看看每个数字卡分别有哪些数码。</x:v>
      </x:c>
      <x:c r="F26" s="24" t="str">
        <x:v>百位、十位、个位的顺序不能颠倒。</x:v>
      </x:c>
      <x:c r="G26" s="24" t="str">
        <x:v>数位上的0也要占位置，不能省略。</x:v>
      </x:c>
      <x:c r="H26" s="24" t="str">
        <x:v>由高位到低位读一遍摆好的卡，核对题目给出的位值条件。</x:v>
      </x:c>
      <x:c r="I26" s="24" t="str">
        <x:v>尚无直接泄题的静态结论；需教研按四级提示逐句确认。</x:v>
      </x:c>
      <x:c r="J26" s="24" t="str">
        <x:v>PENDING</x:v>
      </x:c>
    </x:row>
    <x:row r="27" ht="70" customHeight="1">
      <x:c r="A27" s="24" t="n">
        <x:v>26</x:v>
      </x:c>
      <x:c r="B27" s="24" t="str">
        <x:v>V14-P0-104</x:v>
      </x:c>
      <x:c r="C27" s="24" t="str">
        <x:v>be433fc9-af29-41dc-88c2-7d0a5d110459</x:v>
      </x:c>
      <x:c r="D27" s="24" t="str">
        <x:v>读题理解</x:v>
      </x:c>
      <x:c r="E27" s="24" t="str">
        <x:v>先确认每个方格代表1平方格。</x:v>
      </x:c>
      <x:c r="F27" s="24" t="str">
        <x:v>先确定图形的长和宽分别占几格。</x:v>
      </x:c>
      <x:c r="G27" s="24" t="str">
        <x:v>画出四条直边并将首尾闭合，注意不要越过方格边界。</x:v>
      </x:c>
      <x:c r="H27" s="24" t="str">
        <x:v>数一数小方格，再用长乘宽验证面积。</x:v>
      </x:c>
      <x:c r="I27" s="24" t="str">
        <x:v>尚无直接泄题的静态结论；需教研按四级提示逐句确认。</x:v>
      </x:c>
      <x:c r="J27" s="24" t="str">
        <x:v>PENDING</x:v>
      </x:c>
    </x:row>
    <x:row r="28" ht="70" customHeight="1">
      <x:c r="A28" s="24" t="n">
        <x:v>27</x:v>
      </x:c>
      <x:c r="B28" s="24" t="str">
        <x:v>V14-P0-089</x:v>
      </x:c>
      <x:c r="C28" s="24" t="str">
        <x:v>c2050d65-f7e8-4a6a-983e-978712174a84</x:v>
      </x:c>
      <x:c r="D28" s="24" t="str">
        <x:v>读题理解</x:v>
      </x:c>
      <x:c r="E28" s="24" t="str">
        <x:v>先认真看每张图形卡的边和角。</x:v>
      </x:c>
      <x:c r="F28" s="24" t="str">
        <x:v>找出题目指定的图形类别，再一张张判断。</x:v>
      </x:c>
      <x:c r="G28" s="24" t="str">
        <x:v>同类卡片放进同一组，其他类别不要混入。</x:v>
      </x:c>
      <x:c r="H28" s="24" t="str">
        <x:v>归类结束后数一数目标组里的图形卡。</x:v>
      </x:c>
      <x:c r="I28" s="24" t="str">
        <x:v>尚无直接泄题的静态结论；需教研按四级提示逐句确认。</x:v>
      </x:c>
      <x:c r="J28" s="24" t="str">
        <x:v>PENDING</x:v>
      </x:c>
    </x:row>
    <x:row r="29" ht="70" customHeight="1">
      <x:c r="A29" s="24" t="n">
        <x:v>28</x:v>
      </x:c>
      <x:c r="B29" s="24" t="str">
        <x:v>V14-P0-035</x:v>
      </x:c>
      <x:c r="C29" s="24" t="str">
        <x:v>11aca9c8-067a-48e6-945e-959a20ce83f5</x:v>
      </x:c>
      <x:c r="D29" s="24" t="str">
        <x:v>读题理解</x:v>
      </x:c>
      <x:c r="E29" s="24" t="str">
        <x:v>先看看每个数字卡分别有哪些数码。</x:v>
      </x:c>
      <x:c r="F29" s="24" t="str">
        <x:v>百位、十位、个位的顺序不能颠倒。</x:v>
      </x:c>
      <x:c r="G29" s="24" t="str">
        <x:v>数位上的0也要占位置，不能省略。</x:v>
      </x:c>
      <x:c r="H29" s="24" t="str">
        <x:v>由高位到低位读一遍摆好的卡，核对题目给出的位值条件。</x:v>
      </x:c>
      <x:c r="I29" s="24" t="str">
        <x:v>尚无直接泄题的静态结论；需教研按四级提示逐句确认。</x:v>
      </x:c>
      <x:c r="J29" s="24" t="str">
        <x:v>PENDING</x:v>
      </x:c>
    </x:row>
    <x:row r="30" ht="70" customHeight="1">
      <x:c r="A30" s="24" t="n">
        <x:v>29</x:v>
      </x:c>
      <x:c r="B30" s="24" t="str">
        <x:v>V14-P0-025</x:v>
      </x:c>
      <x:c r="C30" s="24" t="str">
        <x:v>103b0e3f-4287-469c-96ec-6a173e84a4f5</x:v>
      </x:c>
      <x:c r="D30" s="24" t="str">
        <x:v>读题理解</x:v>
      </x:c>
      <x:c r="E30" s="24" t="str">
        <x:v>先圈出题目里已知的数字和所求的量。</x:v>
      </x:c>
      <x:c r="F30" s="24" t="str">
        <x:v>判断是在拆分数位、比较大小还是进行运算。</x:v>
      </x:c>
      <x:c r="G30" s="24" t="str">
        <x:v>可以先口算，再在草稿中用相反运算验证。</x:v>
      </x:c>
      <x:c r="H30" s="24" t="str">
        <x:v>把求出的数代入原题，看它是否满足所有条件。</x:v>
      </x:c>
      <x:c r="I30" s="24" t="str">
        <x:v>尚无直接泄题的静态结论；需教研按四级提示逐句确认。</x:v>
      </x:c>
      <x:c r="J30" s="24" t="str">
        <x:v>PENDING</x:v>
      </x:c>
    </x:row>
    <x:row r="31" ht="70" customHeight="1">
      <x:c r="A31" s="24" t="n">
        <x:v>30</x:v>
      </x:c>
      <x:c r="B31" s="24" t="str">
        <x:v>V14-P0-100</x:v>
      </x:c>
      <x:c r="C31" s="24" t="str">
        <x:v>a21d4278-9780-453c-a510-08ce184f764e</x:v>
      </x:c>
      <x:c r="D31" s="24" t="str">
        <x:v>读题理解</x:v>
      </x:c>
      <x:c r="E31" s="24" t="str">
        <x:v>先确认每个方格代表1平方格。</x:v>
      </x:c>
      <x:c r="F31" s="24" t="str">
        <x:v>先确定图形的长和宽分别占几格。</x:v>
      </x:c>
      <x:c r="G31" s="24" t="str">
        <x:v>画出四条直边并将首尾闭合，注意不要越过方格边界。</x:v>
      </x:c>
      <x:c r="H31" s="24" t="str">
        <x:v>数一数小方格，再用长乘宽验证面积。</x:v>
      </x:c>
      <x:c r="I31" s="24" t="str">
        <x:v>尚无直接泄题的静态结论；需教研按四级提示逐句确认。</x:v>
      </x:c>
      <x:c r="J31" s="24" t="str">
        <x:v>PENDING</x:v>
      </x:c>
    </x:row>
    <x:row r="32" ht="70" customHeight="1">
      <x:c r="A32" s="24" t="n">
        <x:v>31</x:v>
      </x:c>
      <x:c r="B32" s="24" t="str">
        <x:v>V14-P0-095</x:v>
      </x:c>
      <x:c r="C32" s="24" t="str">
        <x:v>e3c2ebe4-57eb-4811-8b5f-80b67aa199dd</x:v>
      </x:c>
      <x:c r="D32" s="24" t="str">
        <x:v>读题理解</x:v>
      </x:c>
      <x:c r="E32" s="24" t="str">
        <x:v>先认真看每张图形卡的边和角。</x:v>
      </x:c>
      <x:c r="F32" s="24" t="str">
        <x:v>找出题目指定的图形类别，再一张张判断。</x:v>
      </x:c>
      <x:c r="G32" s="24" t="str">
        <x:v>同类卡片放进同一组，其他类别不要混入。</x:v>
      </x:c>
      <x:c r="H32" s="24" t="str">
        <x:v>归类结束后数一数目标组里的图形卡。</x:v>
      </x:c>
      <x:c r="I32" s="24" t="str">
        <x:v>尚无直接泄题的静态结论；需教研按四级提示逐句确认。</x:v>
      </x:c>
      <x:c r="J32" s="24" t="str">
        <x:v>PENDING</x:v>
      </x:c>
    </x:row>
    <x:row r="33" ht="70" customHeight="1">
      <x:c r="A33" s="24" t="n">
        <x:v>32</x:v>
      </x:c>
      <x:c r="B33" s="24" t="str">
        <x:v>花边接着摆</x:v>
      </x:c>
      <x:c r="C33" s="24" t="str">
        <x:v>1723d78a-44c9-419d-82d4-7a9f6a48520a</x:v>
      </x:c>
      <x:c r="D33" s="24" t="str">
        <x:v>数量关系</x:v>
      </x:c>
      <x:c r="E33" s="24" t="str">
        <x:v>数一数：第 1 颗是什么颜色？第 2 颗呢？第 3 颗又变回谁？</x:v>
      </x:c>
      <x:c r="F33" s="24" t="str">
        <x:v>黄、蓝，黄、蓝——它们是**轮流**出来的，两个一组。</x:v>
      </x:c>
      <x:c r="G33" s="24" t="str">
        <x:v>第 4 颗是蓝，那第 5 颗该轮到谁了？</x:v>
      </x:c>
      <x:c r="H33" s="24" t="str">
        <x:v>轮到黄啦，接着又是蓝——空格放 黄、蓝 = 1、2，答案 12。</x:v>
      </x:c>
      <x:c r="I33" s="24" t="str">
        <x:v>L4为最终结果/具体卡片时需标记重度提示，不可作为独立掌握正证。</x:v>
      </x:c>
      <x:c r="J33" s="24" t="str">
        <x:v>PENDING</x:v>
      </x:c>
    </x:row>
    <x:row r="34" ht="70" customHeight="1">
      <x:c r="A34" s="24" t="n">
        <x:v>33</x:v>
      </x:c>
      <x:c r="B34" s="24" t="str">
        <x:v>三组一样多</x:v>
      </x:c>
      <x:c r="C34" s="24" t="str">
        <x:v>5bceb172-2b67-4421-99b2-175ec05b94e9</x:v>
      </x:c>
      <x:c r="D34" s="24" t="str">
        <x:v>数量关系</x:v>
      </x:c>
      <x:c r="E34" s="24" t="str">
        <x:v>一共有几组？每组的数量都是几？</x:v>
      </x:c>
      <x:c r="F34" s="24" t="str">
        <x:v>可以从0开始，每次增加7，连续跳3次。</x:v>
      </x:c>
      <x:c r="G34" s="24" t="str">
        <x:v>把3个7合起来，可以写成7 + 7 + 7。</x:v>
      </x:c>
      <x:c r="H34" s="24" t="str">
        <x:v>7 + 7 + 7 等于几？</x:v>
      </x:c>
      <x:c r="I34" s="24" t="str">
        <x:v>尚无直接泄题的静态结论；需教研按四级提示逐句确认。</x:v>
      </x:c>
      <x:c r="J34" s="24" t="str">
        <x:v>PENDING</x:v>
      </x:c>
    </x:row>
    <x:row r="35" ht="70" customHeight="1">
      <x:c r="A35" s="24" t="n">
        <x:v>34</x:v>
      </x:c>
      <x:c r="B35" s="24" t="str">
        <x:v>来了以后怎么求</x:v>
      </x:c>
      <x:c r="C35" s="24" t="str">
        <x:v>0176dc73-eb37-417f-add4-e9e97e058b0a</x:v>
      </x:c>
      <x:c r="D35" s="24" t="str">
        <x:v>策略选择</x:v>
      </x:c>
      <x:c r="E35" s="24" t="str">
        <x:v>铅笔是变多了还是变少了？</x:v>
      </x:c>
      <x:c r="F35" s="24" t="str">
        <x:v>从5开始，想想应该向更大的数走还是更小的数走。</x:v>
      </x:c>
      <x:c r="G35" s="24" t="str">
        <x:v>数量增加，应该把3加上去。</x:v>
      </x:c>
      <x:c r="H35" s="24" t="str">
        <x:v>5 + 3 等于几？</x:v>
      </x:c>
      <x:c r="I35" s="24" t="str">
        <x:v>尚无直接泄题的静态结论；需教研按四级提示逐句确认。</x:v>
      </x:c>
      <x:c r="J35" s="24" t="str">
        <x:v>PENDING</x:v>
      </x:c>
    </x:row>
    <x:row r="36" ht="70" customHeight="1">
      <x:c r="A36" s="24" t="n">
        <x:v>35</x:v>
      </x:c>
      <x:c r="B36" s="24" t="str">
        <x:v>吃掉以后怎么求</x:v>
      </x:c>
      <x:c r="C36" s="24" t="str">
        <x:v>dc1f2a1c-b719-45f7-95b5-d30cdb42b070</x:v>
      </x:c>
      <x:c r="D36" s="24" t="str">
        <x:v>策略选择</x:v>
      </x:c>
      <x:c r="E36" s="24" t="str">
        <x:v>吃掉4块以后，数量是增加还是减少？</x:v>
      </x:c>
      <x:c r="F36" s="24" t="str">
        <x:v>从10开始，要找剩下的数量，应该往回走。</x:v>
      </x:c>
      <x:c r="G36" s="24" t="str">
        <x:v>数量减少，要从10里去掉4。</x:v>
      </x:c>
      <x:c r="H36" s="24" t="str">
        <x:v>10 - 4 等于几？</x:v>
      </x:c>
      <x:c r="I36" s="24" t="str">
        <x:v>尚无直接泄题的静态结论；需教研按四级提示逐句确认。</x:v>
      </x:c>
      <x:c r="J36" s="24" t="str">
        <x:v>PENDING</x:v>
      </x:c>
    </x:row>
    <x:row r="37" ht="70" customHeight="1">
      <x:c r="A37" s="24" t="n">
        <x:v>36</x:v>
      </x:c>
      <x:c r="B37" s="24" t="str">
        <x:v>相差多少用什么方法</x:v>
      </x:c>
      <x:c r="C37" s="24" t="str">
        <x:v>cfc971b4-002f-42c3-8b00-993784a4f9ff</x:v>
      </x:c>
      <x:c r="D37" s="24" t="str">
        <x:v>策略选择</x:v>
      </x:c>
      <x:c r="E37" s="24" t="str">
        <x:v>题目要找的是总数，还是两个数量之间的差？</x:v>
      </x:c>
      <x:c r="F37" s="24" t="str">
        <x:v>把8朵和5朵一一对齐，看多出的部分。</x:v>
      </x:c>
      <x:c r="G37" s="24" t="str">
        <x:v>求相差多少，可以用大的数量减去小的数量。</x:v>
      </x:c>
      <x:c r="H37" s="24" t="str">
        <x:v>8 - 5 等于几？</x:v>
      </x:c>
      <x:c r="I37" s="24" t="str">
        <x:v>尚无直接泄题的静态结论；需教研按四级提示逐句确认。</x:v>
      </x:c>
      <x:c r="J37" s="24" t="str">
        <x:v>PENDING</x:v>
      </x:c>
    </x:row>
    <x:row r="38" ht="70" customHeight="1">
      <x:c r="A38" s="24" t="n">
        <x:v>37</x:v>
      </x:c>
      <x:c r="B38" s="24" t="str">
        <x:v>V14-P0-036</x:v>
      </x:c>
      <x:c r="C38" s="24" t="str">
        <x:v>2c46c271-1a2f-4f45-ad3c-b5719ad58ded</x:v>
      </x:c>
      <x:c r="D38" s="24" t="str">
        <x:v>策略选择</x:v>
      </x:c>
      <x:c r="E38" s="24" t="str">
        <x:v>先看看每个数字卡分别有哪些数码。</x:v>
      </x:c>
      <x:c r="F38" s="24" t="str">
        <x:v>百位、十位、个位的顺序不能颠倒。</x:v>
      </x:c>
      <x:c r="G38" s="24" t="str">
        <x:v>数位上的0也要占位置，不能省略。</x:v>
      </x:c>
      <x:c r="H38" s="24" t="str">
        <x:v>由高位到低位读一遍摆好的卡，核对题目给出的位值条件。</x:v>
      </x:c>
      <x:c r="I38" s="24" t="str">
        <x:v>尚无直接泄题的静态结论；需教研按四级提示逐句确认。</x:v>
      </x:c>
      <x:c r="J38" s="24" t="str">
        <x:v>PENDING</x:v>
      </x:c>
    </x:row>
    <x:row r="39" ht="70" customHeight="1">
      <x:c r="A39" s="24" t="n">
        <x:v>38</x:v>
      </x:c>
      <x:c r="B39" s="24" t="str">
        <x:v>比我多要怎样算</x:v>
      </x:c>
      <x:c r="C39" s="24" t="str">
        <x:v>c07482bb-8a60-4b18-b3c1-25532a77a339</x:v>
      </x:c>
      <x:c r="D39" s="24" t="str">
        <x:v>策略选择</x:v>
      </x:c>
      <x:c r="E39" s="24" t="str">
        <x:v>小宁比7张更多还是更少？</x:v>
      </x:c>
      <x:c r="F39" s="24" t="str">
        <x:v>先把7看成基准，再想多出来的4应该怎样处理。</x:v>
      </x:c>
      <x:c r="G39" s="24" t="str">
        <x:v>求比7多4的数量，要把4加上去。</x:v>
      </x:c>
      <x:c r="H39" s="24" t="str">
        <x:v>7 + 4 等于几？</x:v>
      </x:c>
      <x:c r="I39" s="24" t="str">
        <x:v>尚无直接泄题的静态结论；需教研按四级提示逐句确认。</x:v>
      </x:c>
      <x:c r="J39" s="24" t="str">
        <x:v>PENDING</x:v>
      </x:c>
    </x:row>
    <x:row r="40" ht="70" customHeight="1">
      <x:c r="A40" s="24" t="n">
        <x:v>39</x:v>
      </x:c>
      <x:c r="B40" s="24" t="str">
        <x:v>知道多的找少的</x:v>
      </x:c>
      <x:c r="C40" s="24" t="str">
        <x:v>8612589b-80dd-4ac7-8658-c241b8d45153</x:v>
      </x:c>
      <x:c r="D40" s="24" t="str">
        <x:v>策略选择</x:v>
      </x:c>
      <x:c r="E40" s="24" t="str">
        <x:v>12个是谁的？妹妹应该比12多还是少？</x:v>
      </x:c>
      <x:c r="F40" s="24" t="str">
        <x:v>把哥哥的数量画长一些，多出的5单独标出来。</x:v>
      </x:c>
      <x:c r="G40" s="24" t="str">
        <x:v>要找较少的一方，可以从12里去掉多出的5。</x:v>
      </x:c>
      <x:c r="H40" s="24" t="str">
        <x:v>12 - 5 等于几？</x:v>
      </x:c>
      <x:c r="I40" s="24" t="str">
        <x:v>尚无直接泄题的静态结论；需教研按四级提示逐句确认。</x:v>
      </x:c>
      <x:c r="J40" s="24" t="str">
        <x:v>PENDING</x:v>
      </x:c>
    </x:row>
    <x:row r="41" ht="70" customHeight="1">
      <x:c r="A41" s="24" t="n">
        <x:v>40</x:v>
      </x:c>
      <x:c r="B41" s="24" t="str">
        <x:v>知道整体找另一部分</x:v>
      </x:c>
      <x:c r="C41" s="24" t="str">
        <x:v>f5fb6594-862e-4dfe-9f19-723b1eed7ea6</x:v>
      </x:c>
      <x:c r="D41" s="24" t="str">
        <x:v>策略选择</x:v>
      </x:c>
      <x:c r="E41" s="24" t="str">
        <x:v>15是整体还是其中一部分？</x:v>
      </x:c>
      <x:c r="F41" s="24" t="str">
        <x:v>把15看成一整条，已经知道其中6，还缺哪一段？</x:v>
      </x:c>
      <x:c r="G41" s="24" t="str">
        <x:v>已知整体和一部分，求另一部分，要从整体里减去已知部分。</x:v>
      </x:c>
      <x:c r="H41" s="24" t="str">
        <x:v>15 - 6 等于几？</x:v>
      </x:c>
      <x:c r="I41" s="24" t="str">
        <x:v>尚无直接泄题的静态结论；需教研按四级提示逐句确认。</x:v>
      </x:c>
      <x:c r="J41" s="24" t="str">
        <x:v>PENDING</x:v>
      </x:c>
    </x:row>
    <x:row r="42" ht="70" customHeight="1">
      <x:c r="A42" s="24" t="n">
        <x:v>41</x:v>
      </x:c>
      <x:c r="B42" s="24" t="str">
        <x:v>方框里藏了几（V2 链 R10）</x:v>
      </x:c>
      <x:c r="C42" s="24" t="str">
        <x:v>6a66010c-3b59-4322-8717-b841402f17ad</x:v>
      </x:c>
      <x:c r="D42" s="24" t="str">
        <x:v>策略选择</x:v>
      </x:c>
      <x:c r="E42" s="24" t="str">
        <x:v>等号右边一共有9颗，左边要凑出同样多的9。</x:v>
      </x:c>
      <x:c r="F42" s="24" t="str">
        <x:v>外面的4颗已经在这儿了，方框要替你补几颗才到9？</x:v>
      </x:c>
      <x:c r="G42" s="24" t="str">
        <x:v>想一想：4 加几等于 9？</x:v>
      </x:c>
      <x:c r="H42" s="24" t="str">
        <x:v>从4往上数到9，数了几步？</x:v>
      </x:c>
      <x:c r="I42" s="24" t="str">
        <x:v>尚无直接泄题的静态结论；需教研按四级提示逐句确认。</x:v>
      </x:c>
      <x:c r="J42" s="24" t="str">
        <x:v>PENDING</x:v>
      </x:c>
    </x:row>
    <x:row r="43" ht="70" customHeight="1">
      <x:c r="A43" s="24" t="n">
        <x:v>42</x:v>
      </x:c>
      <x:c r="B43" s="24" t="str">
        <x:v>加号还是减号（V2 链 R10）</x:v>
      </x:c>
      <x:c r="C43" s="24" t="str">
        <x:v>7f1ff763-3633-42ca-93f9-a556d3dc6267</x:v>
      </x:c>
      <x:c r="D43" s="24" t="str">
        <x:v>策略选择</x:v>
      </x:c>
      <x:c r="E43" s="24" t="str">
        <x:v>鱼是变多了还是变少了？</x:v>
      </x:c>
      <x:c r="F43" s="24" t="str">
        <x:v>变少要用哪个符号？</x:v>
      </x:c>
      <x:c r="G43" s="24" t="str">
        <x:v>7 加 2 是几？和等号右边一样吗？</x:v>
      </x:c>
      <x:c r="H43" s="24" t="str">
        <x:v>试试减号：7 减 2 等于几？</x:v>
      </x:c>
      <x:c r="I43" s="24" t="str">
        <x:v>尚无直接泄题的静态结论；需教研按四级提示逐句确认。</x:v>
      </x:c>
      <x:c r="J43" s="24" t="str">
        <x:v>PENDING</x:v>
      </x:c>
    </x:row>
    <x:row r="44" ht="70" customHeight="1">
      <x:c r="A44" s="24" t="n">
        <x:v>43</x:v>
      </x:c>
      <x:c r="B44" s="24" t="str">
        <x:v>给练习本付钱</x:v>
      </x:c>
      <x:c r="C44" s="24" t="str">
        <x:v>b978d294-7ea5-4670-8538-3c04c2113536</x:v>
      </x:c>
      <x:c r="D44" s="24" t="str">
        <x:v>策略选择</x:v>
      </x:c>
      <x:c r="E44" s="24" t="str">
        <x:v>3 元 5 角里有几个 1 元？</x:v>
      </x:c>
      <x:c r="F44" s="24" t="str">
        <x:v>3 个 1 元——点三次「1 元」拿出三枚。</x:v>
      </x:c>
      <x:c r="G44" s="24" t="str">
        <x:v>还差 5 角：拿**一枚** 5 角就够，不是五枚哦。</x:v>
      </x:c>
      <x:c r="H44" s="24" t="str">
        <x:v>3 枚 1 元 + 1 枚 5 角 = 30+5=35 角，正好。</x:v>
      </x:c>
      <x:c r="I44" s="24" t="str">
        <x:v>尚无直接泄题的静态结论；需教研按四级提示逐句确认。</x:v>
      </x:c>
      <x:c r="J44" s="24" t="str">
        <x:v>PENDING</x:v>
      </x:c>
    </x:row>
    <x:row r="45" ht="70" customHeight="1">
      <x:c r="A45" s="24" t="n">
        <x:v>44</x:v>
      </x:c>
      <x:c r="B45" s="24" t="str">
        <x:v>V14-P0-142</x:v>
      </x:c>
      <x:c r="C45" s="24" t="str">
        <x:v>9ab5d643-bd5b-4a77-8f22-f963d2b2ad84</x:v>
      </x:c>
      <x:c r="D45" s="24" t="str">
        <x:v>策略选择</x:v>
      </x:c>
      <x:c r="E45" s="24" t="str">
        <x:v>先看清练习本标价和单位。</x:v>
      </x:c>
      <x:c r="F45" s="24" t="str">
        <x:v>观察可选硬币分别代表几角。</x:v>
      </x:c>
      <x:c r="G45" s="24" t="str">
        <x:v>尝试挑选合适的硬币组合，让总额刚好达到价格。</x:v>
      </x:c>
      <x:c r="H45" s="24" t="str">
        <x:v>再将选中的硬币面值相加，确认付款金额不多不少。</x:v>
      </x:c>
      <x:c r="I45" s="24" t="str">
        <x:v>尚无直接泄题的静态结论；需教研按四级提示逐句确认。</x:v>
      </x:c>
      <x:c r="J45" s="24" t="str">
        <x:v>PENDING</x:v>
      </x:c>
    </x:row>
    <x:row r="46" ht="70" customHeight="1">
      <x:c r="A46" s="24" t="n">
        <x:v>45</x:v>
      </x:c>
      <x:c r="B46" s="24" t="str">
        <x:v>V14-P0-087</x:v>
      </x:c>
      <x:c r="C46" s="24" t="str">
        <x:v>49cd865c-c8eb-481f-a013-b7ee1c26896b</x:v>
      </x:c>
      <x:c r="D46" s="24" t="str">
        <x:v>策略选择</x:v>
      </x:c>
      <x:c r="E46" s="24" t="str">
        <x:v>先观察点阵的疏密和大小，别急着逐一点数。</x:v>
      </x:c>
      <x:c r="F46" s="24" t="str">
        <x:v>想想它更靠近哪个整十参照数。</x:v>
      </x:c>
      <x:c r="G46" s="24" t="str">
        <x:v>移动连续滑条到你认为合理的位置。</x:v>
      </x:c>
      <x:c r="H46" s="24" t="str">
        <x:v>比较估计与参照数的距离，检查有没有明显高估或低估。</x:v>
      </x:c>
      <x:c r="I46" s="24" t="str">
        <x:v>尚无直接泄题的静态结论；需教研按四级提示逐句确认。</x:v>
      </x:c>
      <x:c r="J46" s="24" t="str">
        <x:v>PENDING</x:v>
      </x:c>
    </x:row>
    <x:row r="47" ht="70" customHeight="1">
      <x:c r="A47" s="24" t="n">
        <x:v>46</x:v>
      </x:c>
      <x:c r="B47" s="24" t="str">
        <x:v>V14-P0-047</x:v>
      </x:c>
      <x:c r="C47" s="24" t="str">
        <x:v>cdcc6e30-50f2-4efb-a5c8-06b373d8c797</x:v>
      </x:c>
      <x:c r="D47" s="24" t="str">
        <x:v>策略选择</x:v>
      </x:c>
      <x:c r="E47" s="24" t="str">
        <x:v>先观察十格框中已经亮起了几个格子。</x:v>
      </x:c>
      <x:c r="F47" s="24" t="str">
        <x:v>想想还需要添多少格才能满足任务。</x:v>
      </x:c>
      <x:c r="G47" s="24" t="str">
        <x:v>从左到右、从上到下依次填入圆点。</x:v>
      </x:c>
      <x:c r="H47" s="24" t="str">
        <x:v>完成后用五格一组的方法重新核对总数。</x:v>
      </x:c>
      <x:c r="I47" s="24" t="str">
        <x:v>尚无直接泄题的静态结论；需教研按四级提示逐句确认。</x:v>
      </x:c>
      <x:c r="J47" s="24" t="str">
        <x:v>PENDING</x:v>
      </x:c>
    </x:row>
    <x:row r="48" ht="70" customHeight="1">
      <x:c r="A48" s="24" t="n">
        <x:v>47</x:v>
      </x:c>
      <x:c r="B48" s="24" t="str">
        <x:v>换个角度看比较</x:v>
      </x:c>
      <x:c r="C48" s="24" t="str">
        <x:v>04f97cb8-b918-4836-bf06-c39d8613fe0e</x:v>
      </x:c>
      <x:c r="D48" s="24" t="str">
        <x:v>策略选择</x:v>
      </x:c>
      <x:c r="E48" s="24" t="str">
        <x:v>小冬比小夏少4张，说明谁的卡片更多？</x:v>
      </x:c>
      <x:c r="F48" s="24" t="str">
        <x:v>先画出小冬的7，再给小夏多出一段4。</x:v>
      </x:c>
      <x:c r="G48" s="24" t="str">
        <x:v>要求较多的一方，要在7的基础上加上4。</x:v>
      </x:c>
      <x:c r="H48" s="24" t="str">
        <x:v>7 + 4 等于几？</x:v>
      </x:c>
      <x:c r="I48" s="24" t="str">
        <x:v>尚无直接泄题的静态结论；需教研按四级提示逐句确认。</x:v>
      </x:c>
      <x:c r="J48" s="24" t="str">
        <x:v>PENDING</x:v>
      </x:c>
    </x:row>
    <x:row r="49" ht="70" customHeight="1">
      <x:c r="A49" s="24" t="n">
        <x:v>48</x:v>
      </x:c>
      <x:c r="B49" s="24" t="str">
        <x:v>原来有多少</x:v>
      </x:c>
      <x:c r="C49" s="24" t="str">
        <x:v>79acf485-2a4e-44e7-bdac-812cc1359b40</x:v>
      </x:c>
      <x:c r="D49" s="24" t="str">
        <x:v>策略选择</x:v>
      </x:c>
      <x:c r="E49" s="24" t="str">
        <x:v>现在剩8张，之前还送出了3张。原来的数量应该比8多还是少？</x:v>
      </x:c>
      <x:c r="F49" s="24" t="str">
        <x:v>从8出发，把送出去的3补回来。</x:v>
      </x:c>
      <x:c r="G49" s="24" t="str">
        <x:v>要还原原来的数量，可以把3加回去。</x:v>
      </x:c>
      <x:c r="H49" s="24" t="str">
        <x:v>8 + 3 等于几？</x:v>
      </x:c>
      <x:c r="I49" s="24" t="str">
        <x:v>尚无直接泄题的静态结论；需教研按四级提示逐句确认。</x:v>
      </x:c>
      <x:c r="J49" s="24" t="str">
        <x:v>PENDING</x:v>
      </x:c>
    </x:row>
    <x:row r="50" ht="70" customHeight="1">
      <x:c r="A50" s="24" t="n">
        <x:v>49</x:v>
      </x:c>
      <x:c r="B50" s="24" t="str">
        <x:v>V14-P0-043</x:v>
      </x:c>
      <x:c r="C50" s="24" t="str">
        <x:v>939ab507-cee6-449a-80b9-cf97cedd194b</x:v>
      </x:c>
      <x:c r="D50" s="24" t="str">
        <x:v>策略选择</x:v>
      </x:c>
      <x:c r="E50" s="24" t="str">
        <x:v>先观察十格框中已经亮起了几个格子。</x:v>
      </x:c>
      <x:c r="F50" s="24" t="str">
        <x:v>想想还需要添多少格才能满足任务。</x:v>
      </x:c>
      <x:c r="G50" s="24" t="str">
        <x:v>从左到右、从上到下依次填入圆点。</x:v>
      </x:c>
      <x:c r="H50" s="24" t="str">
        <x:v>完成后用五格一组的方法重新核对总数。</x:v>
      </x:c>
      <x:c r="I50" s="24" t="str">
        <x:v>尚无直接泄题的静态结论；需教研按四级提示逐句确认。</x:v>
      </x:c>
      <x:c r="J50" s="24" t="str">
        <x:v>PENDING</x:v>
      </x:c>
    </x:row>
    <x:row r="51" ht="70" customHeight="1">
      <x:c r="A51" s="24" t="n">
        <x:v>50</x:v>
      </x:c>
      <x:c r="B51" s="24" t="str">
        <x:v>V14-P0-073</x:v>
      </x:c>
      <x:c r="C51" s="24" t="str">
        <x:v>e29e7012-306b-494a-8633-cfd56537adcd</x:v>
      </x:c>
      <x:c r="D51" s="24" t="str">
        <x:v>策略选择</x:v>
      </x:c>
      <x:c r="E51" s="24" t="str">
        <x:v>先定位算式中唯一的空格。</x:v>
      </x:c>
      <x:c r="F51" s="24" t="str">
        <x:v>观察等号左右两边应当表示同一个数量。</x:v>
      </x:c>
      <x:c r="G51" s="24" t="str">
        <x:v>可尝试用逆运算求出空格对应的数。</x:v>
      </x:c>
      <x:c r="H51" s="24" t="str">
        <x:v>把候选数字填回算式左右核对是否相等。</x:v>
      </x:c>
      <x:c r="I51" s="24" t="str">
        <x:v>尚无直接泄题的静态结论；需教研按四级提示逐句确认。</x:v>
      </x:c>
      <x:c r="J51" s="24" t="str">
        <x:v>PENDING</x:v>
      </x:c>
    </x:row>
    <x:row r="52" ht="70" customHeight="1">
      <x:c r="A52" s="24" t="n">
        <x:v>51</x:v>
      </x:c>
      <x:c r="B52" s="24" t="str">
        <x:v>V14-P0-138</x:v>
      </x:c>
      <x:c r="C52" s="24" t="str">
        <x:v>1716d898-506d-4428-a9de-664bc60b528e</x:v>
      </x:c>
      <x:c r="D52" s="24" t="str">
        <x:v>策略选择</x:v>
      </x:c>
      <x:c r="E52" s="24" t="str">
        <x:v>先确认所有金额都用“角”表示。</x:v>
      </x:c>
      <x:c r="F52" s="24" t="str">
        <x:v>检查可以使用的币值：1、5、10、50角。</x:v>
      </x:c>
      <x:c r="G52" s="24" t="str">
        <x:v>将各枚币值相加，或用付款量减商品价求找零。</x:v>
      </x:c>
      <x:c r="H52" s="24" t="str">
        <x:v>重新核对币值组合及算式，确认金额不多不少。</x:v>
      </x:c>
      <x:c r="I52" s="24" t="str">
        <x:v>尚无直接泄题的静态结论；需教研按四级提示逐句确认。</x:v>
      </x:c>
      <x:c r="J52" s="24" t="str">
        <x:v>PENDING</x:v>
      </x:c>
    </x:row>
    <x:row r="53" ht="70" customHeight="1">
      <x:c r="A53" s="24" t="n">
        <x:v>52</x:v>
      </x:c>
      <x:c r="B53" s="24" t="str">
        <x:v>V14-P0-143</x:v>
      </x:c>
      <x:c r="C53" s="24" t="str">
        <x:v>2ff4a288-9db7-4945-9ff8-db00eccaacdb</x:v>
      </x:c>
      <x:c r="D53" s="24" t="str">
        <x:v>策略选择</x:v>
      </x:c>
      <x:c r="E53" s="24" t="str">
        <x:v>先看清练习本标价和单位。</x:v>
      </x:c>
      <x:c r="F53" s="24" t="str">
        <x:v>观察可选硬币分别代表几角。</x:v>
      </x:c>
      <x:c r="G53" s="24" t="str">
        <x:v>尝试挑选合适的硬币组合，让总额刚好达到价格。</x:v>
      </x:c>
      <x:c r="H53" s="24" t="str">
        <x:v>再将选中的硬币面值相加，确认付款金额不多不少。</x:v>
      </x:c>
      <x:c r="I53" s="24" t="str">
        <x:v>尚无直接泄题的静态结论；需教研按四级提示逐句确认。</x:v>
      </x:c>
      <x:c r="J53" s="24" t="str">
        <x:v>PENDING</x:v>
      </x:c>
    </x:row>
    <x:row r="54" ht="70" customHeight="1">
      <x:c r="A54" s="24" t="n">
        <x:v>53</x:v>
      </x:c>
      <x:c r="B54" s="24" t="str">
        <x:v>V14-P0-083</x:v>
      </x:c>
      <x:c r="C54" s="24" t="str">
        <x:v>46b80862-2973-4737-a4bc-dbfdab4dae83</x:v>
      </x:c>
      <x:c r="D54" s="24" t="str">
        <x:v>策略选择</x:v>
      </x:c>
      <x:c r="E54" s="24" t="str">
        <x:v>先观察点阵的疏密和大小，别急着逐一点数。</x:v>
      </x:c>
      <x:c r="F54" s="24" t="str">
        <x:v>想想它更靠近哪个整十参照数。</x:v>
      </x:c>
      <x:c r="G54" s="24" t="str">
        <x:v>移动连续滑条到你认为合理的位置。</x:v>
      </x:c>
      <x:c r="H54" s="24" t="str">
        <x:v>比较估计与参照数的距离，检查有没有明显高估或低估。</x:v>
      </x:c>
      <x:c r="I54" s="24" t="str">
        <x:v>尚无直接泄题的静态结论；需教研按四级提示逐句确认。</x:v>
      </x:c>
      <x:c r="J54" s="24" t="str">
        <x:v>PENDING</x:v>
      </x:c>
    </x:row>
    <x:row r="55" ht="70" customHeight="1">
      <x:c r="A55" s="24" t="n">
        <x:v>54</x:v>
      </x:c>
      <x:c r="B55" s="24" t="str">
        <x:v>先求另一人再求总数</x:v>
      </x:c>
      <x:c r="C55" s="24" t="str">
        <x:v>6e5395f0-def7-4060-a501-044d8e9a3764</x:v>
      </x:c>
      <x:c r="D55" s="24" t="str">
        <x:v>策略选择</x:v>
      </x:c>
      <x:c r="E55" s="24" t="str">
        <x:v>题目最后问两个人一共有多少，但小红的数量已经直接告诉了吗？</x:v>
      </x:c>
      <x:c r="F55" s="24" t="str">
        <x:v>先用线段表示小明9本和小红多出的3本，先找到小红的数量。</x:v>
      </x:c>
      <x:c r="G55" s="24" t="str">
        <x:v>第一步先求小红有多少本，第二步再把两个人的数量合起来。</x:v>
      </x:c>
      <x:c r="H55" s="24" t="str">
        <x:v>先算9 + 3，再把得到的数量和9相加。最后是多少？</x:v>
      </x:c>
      <x:c r="I55" s="24" t="str">
        <x:v>尚无直接泄题的静态结论；需教研按四级提示逐句确认。</x:v>
      </x:c>
      <x:c r="J55" s="24" t="str">
        <x:v>PENDING</x:v>
      </x:c>
    </x:row>
    <x:row r="56" ht="70" customHeight="1">
      <x:c r="A56" s="24" t="n">
        <x:v>55</x:v>
      </x:c>
      <x:c r="B56" s="24" t="str">
        <x:v>V14-P0-139</x:v>
      </x:c>
      <x:c r="C56" s="24" t="str">
        <x:v>6b87f039-372a-4146-80d2-6873e38001f9</x:v>
      </x:c>
      <x:c r="D56" s="24" t="str">
        <x:v>策略选择</x:v>
      </x:c>
      <x:c r="E56" s="24" t="str">
        <x:v>先确定购买的是两件文具，需要合并两项价格。</x:v>
      </x:c>
      <x:c r="F56" s="24" t="str">
        <x:v>注意所有金额的单位均是角。</x:v>
      </x:c>
      <x:c r="G56" s="24" t="str">
        <x:v>先计算总价，再选择能凑到该金额的硬币。</x:v>
      </x:c>
      <x:c r="H56" s="24" t="str">
        <x:v>检查所选硬币合计是否恰好等于目标金额。</x:v>
      </x:c>
      <x:c r="I56" s="24" t="str">
        <x:v>尚无直接泄题的静态结论；需教研按四级提示逐句确认。</x:v>
      </x:c>
      <x:c r="J56" s="24" t="str">
        <x:v>PENDING</x:v>
      </x:c>
    </x:row>
    <x:row r="57" ht="70" customHeight="1">
      <x:c r="A57" s="24" t="n">
        <x:v>56</x:v>
      </x:c>
      <x:c r="B57" s="24" t="str">
        <x:v>V14-P0-074</x:v>
      </x:c>
      <x:c r="C57" s="24" t="str">
        <x:v>8122c8c2-5151-46e8-b6d8-6df76e984775</x:v>
      </x:c>
      <x:c r="D57" s="24" t="str">
        <x:v>策略选择</x:v>
      </x:c>
      <x:c r="E57" s="24" t="str">
        <x:v>先定位算式中唯一的空格。</x:v>
      </x:c>
      <x:c r="F57" s="24" t="str">
        <x:v>观察等号左右两边应当表示同一个数量。</x:v>
      </x:c>
      <x:c r="G57" s="24" t="str">
        <x:v>可尝试用逆运算求出空格对应的数。</x:v>
      </x:c>
      <x:c r="H57" s="24" t="str">
        <x:v>把候选数字填回算式左右核对是否相等。</x:v>
      </x:c>
      <x:c r="I57" s="24" t="str">
        <x:v>尚无直接泄题的静态结论；需教研按四级提示逐句确认。</x:v>
      </x:c>
      <x:c r="J57" s="24" t="str">
        <x:v>PENDING</x:v>
      </x:c>
    </x:row>
    <x:row r="58" ht="70" customHeight="1">
      <x:c r="A58" s="24" t="n">
        <x:v>57</x:v>
      </x:c>
      <x:c r="B58" s="24" t="str">
        <x:v>V14-P0-064</x:v>
      </x:c>
      <x:c r="C58" s="24" t="str">
        <x:v>ba81c426-4bcd-435e-b567-6cb2f071d7f7</x:v>
      </x:c>
      <x:c r="D58" s="24" t="str">
        <x:v>策略选择</x:v>
      </x:c>
      <x:c r="E58" s="24" t="str">
        <x:v>观察题目中一共有几行、每行几个。</x:v>
      </x:c>
      <x:c r="F58" s="24" t="str">
        <x:v>每一行的数量必须相同，不能漏掉一个格。</x:v>
      </x:c>
      <x:c r="G58" s="24" t="str">
        <x:v>可以用连续加法或乘法记录所有行。</x:v>
      </x:c>
      <x:c r="H58" s="24" t="str">
        <x:v>摆完后按行核数，再和列数一起检查总数。</x:v>
      </x:c>
      <x:c r="I58" s="24" t="str">
        <x:v>尚无直接泄题的静态结论；需教研按四级提示逐句确认。</x:v>
      </x:c>
      <x:c r="J58" s="24" t="str">
        <x:v>PENDING</x:v>
      </x:c>
    </x:row>
    <x:row r="59" ht="70" customHeight="1">
      <x:c r="A59" s="24" t="n">
        <x:v>58</x:v>
      </x:c>
      <x:c r="B59" s="24" t="str">
        <x:v>V14-P0-024</x:v>
      </x:c>
      <x:c r="C59" s="24" t="str">
        <x:v>3b94815f-16a6-4a8f-a17d-2b1e2b229053</x:v>
      </x:c>
      <x:c r="D59" s="24" t="str">
        <x:v>策略选择</x:v>
      </x:c>
      <x:c r="E59" s="24" t="str">
        <x:v>先把起点标在数轴上，确认向左还是向右。</x:v>
      </x:c>
      <x:c r="F59" s="24" t="str">
        <x:v>每次跳相同的距离，跳一次数一次。</x:v>
      </x:c>
      <x:c r="G59" s="24" t="str">
        <x:v>向右数会增大，向左数会减小，保持同一步长。</x:v>
      </x:c>
      <x:c r="H59" s="24" t="str">
        <x:v>按照题目要求的跳数完成所有跳步，再读终点刻度。</x:v>
      </x:c>
      <x:c r="I59" s="24" t="str">
        <x:v>尚无直接泄题的静态结论；需教研按四级提示逐句确认。</x:v>
      </x:c>
      <x:c r="J59" s="24" t="str">
        <x:v>PENDING</x:v>
      </x:c>
    </x:row>
    <x:row r="60" ht="70" customHeight="1">
      <x:c r="A60" s="24" t="n">
        <x:v>59</x:v>
      </x:c>
      <x:c r="B60" s="24" t="str">
        <x:v>V14-P0-020</x:v>
      </x:c>
      <x:c r="C60" s="24" t="str">
        <x:v>52df263c-9da3-4a3c-b98e-c3e2b82c561b</x:v>
      </x:c>
      <x:c r="D60" s="24" t="str">
        <x:v>策略选择</x:v>
      </x:c>
      <x:c r="E60" s="24" t="str">
        <x:v>先把起点标在数轴上，确认向左还是向右。</x:v>
      </x:c>
      <x:c r="F60" s="24" t="str">
        <x:v>每次跳相同的距离，跳一次数一次。</x:v>
      </x:c>
      <x:c r="G60" s="24" t="str">
        <x:v>向右数会增大，向左数会减小，保持同一步长。</x:v>
      </x:c>
      <x:c r="H60" s="24" t="str">
        <x:v>按照题目要求的跳数完成所有跳步，再读终点刻度。</x:v>
      </x:c>
      <x:c r="I60" s="24" t="str">
        <x:v>尚无直接泄题的静态结论；需教研按四级提示逐句确认。</x:v>
      </x:c>
      <x:c r="J60" s="24" t="str">
        <x:v>PENDING</x:v>
      </x:c>
    </x:row>
    <x:row r="61" ht="70" customHeight="1">
      <x:c r="A61" s="24" t="n">
        <x:v>60</x:v>
      </x:c>
      <x:c r="B61" s="24" t="str">
        <x:v>V14-P0-040</x:v>
      </x:c>
      <x:c r="C61" s="24" t="str">
        <x:v>8d8c71fb-9c9d-45d6-9c8a-d395f202f9fa</x:v>
      </x:c>
      <x:c r="D61" s="24" t="str">
        <x:v>策略选择</x:v>
      </x:c>
      <x:c r="E61" s="24" t="str">
        <x:v>先看看每个数字卡分别有哪些数码。</x:v>
      </x:c>
      <x:c r="F61" s="24" t="str">
        <x:v>百位、十位、个位的顺序不能颠倒。</x:v>
      </x:c>
      <x:c r="G61" s="24" t="str">
        <x:v>数位上的0也要占位置，不能省略。</x:v>
      </x:c>
      <x:c r="H61" s="24" t="str">
        <x:v>由高位到低位读一遍摆好的卡，核对题目给出的位值条件。</x:v>
      </x:c>
      <x:c r="I61" s="24" t="str">
        <x:v>尚无直接泄题的静态结论；需教研按四级提示逐句确认。</x:v>
      </x:c>
      <x:c r="J61" s="24" t="str">
        <x:v>PENDING</x:v>
      </x:c>
    </x:row>
    <x:row r="62" ht="70" customHeight="1">
      <x:c r="A62" s="24" t="n">
        <x:v>61</x:v>
      </x:c>
      <x:c r="B62" s="24" t="str">
        <x:v>V14-P0-060</x:v>
      </x:c>
      <x:c r="C62" s="24" t="str">
        <x:v>a1f45723-7d39-4c45-b8fd-9f5cddcf38ea</x:v>
      </x:c>
      <x:c r="D62" s="24" t="str">
        <x:v>策略选择</x:v>
      </x:c>
      <x:c r="E62" s="24" t="str">
        <x:v>观察题目中一共有几行、每行几个。</x:v>
      </x:c>
      <x:c r="F62" s="24" t="str">
        <x:v>每一行的数量必须相同，不能漏掉一个格。</x:v>
      </x:c>
      <x:c r="G62" s="24" t="str">
        <x:v>可以用连续加法或乘法记录所有行。</x:v>
      </x:c>
      <x:c r="H62" s="24" t="str">
        <x:v>摆完后按行核数，再和列数一起检查总数。</x:v>
      </x:c>
      <x:c r="I62" s="24" t="str">
        <x:v>尚无直接泄题的静态结论；需教研按四级提示逐句确认。</x:v>
      </x:c>
      <x:c r="J62" s="24" t="str">
        <x:v>PENDING</x:v>
      </x:c>
    </x:row>
    <x:row r="63" ht="70" customHeight="1">
      <x:c r="A63" s="24" t="n">
        <x:v>62</x:v>
      </x:c>
      <x:c r="B63" s="24" t="str">
        <x:v>V14-P0-075</x:v>
      </x:c>
      <x:c r="C63" s="24" t="str">
        <x:v>506538f4-1e95-402a-9b2e-8069d78251c5</x:v>
      </x:c>
      <x:c r="D63" s="24" t="str">
        <x:v>策略选择</x:v>
      </x:c>
      <x:c r="E63" s="24" t="str">
        <x:v>先定位算式中唯一的空格。</x:v>
      </x:c>
      <x:c r="F63" s="24" t="str">
        <x:v>观察等号左右两边应当表示同一个数量。</x:v>
      </x:c>
      <x:c r="G63" s="24" t="str">
        <x:v>可尝试用逆运算求出空格对应的数。</x:v>
      </x:c>
      <x:c r="H63" s="24" t="str">
        <x:v>把候选数字填回算式左右核对是否相等。</x:v>
      </x:c>
      <x:c r="I63" s="24" t="str">
        <x:v>尚无直接泄题的静态结论；需教研按四级提示逐句确认。</x:v>
      </x:c>
      <x:c r="J63" s="24" t="str">
        <x:v>PENDING</x:v>
      </x:c>
    </x:row>
    <x:row r="64" ht="70" customHeight="1">
      <x:c r="A64" s="24" t="n">
        <x:v>63</x:v>
      </x:c>
      <x:c r="B64" s="24" t="str">
        <x:v>换成跑步圈数还能比较</x:v>
      </x:c>
      <x:c r="C64" s="24" t="str">
        <x:v>8f603745-fc26-4402-9cd2-0fc20cfd401a</x:v>
      </x:c>
      <x:c r="D64" s="24" t="str">
        <x:v>迁移观察</x:v>
      </x:c>
      <x:c r="E64" s="24" t="str">
        <x:v>虽然场景变了，题目仍在问两个数量的什么关系？</x:v>
      </x:c>
      <x:c r="F64" s="24" t="str">
        <x:v>把9和6一一对应或对齐看看。</x:v>
      </x:c>
      <x:c r="G64" s="24" t="str">
        <x:v>求相差多少仍然可以用较大数减较小数。</x:v>
      </x:c>
      <x:c r="H64" s="24" t="str">
        <x:v>9 - 6 等于几？</x:v>
      </x:c>
      <x:c r="I64" s="24" t="str">
        <x:v>尚无直接泄题的静态结论；需教研按四级提示逐句确认。</x:v>
      </x:c>
      <x:c r="J64" s="24" t="str">
        <x:v>PENDING</x:v>
      </x:c>
    </x:row>
    <x:row r="65" ht="70" customHeight="1">
      <x:c r="A65" s="24" t="n">
        <x:v>64</x:v>
      </x:c>
      <x:c r="B65" s="24" t="str">
        <x:v>换成座位数量还能增加</x:v>
      </x:c>
      <x:c r="C65" s="24" t="str">
        <x:v>a5ea2487-ac28-41c3-898b-03e6e1c4de16</x:v>
      </x:c>
      <x:c r="D65" s="24" t="str">
        <x:v>迁移观察</x:v>
      </x:c>
      <x:c r="E65" s="24" t="str">
        <x:v>这里发生的是增加还是减少？</x:v>
      </x:c>
      <x:c r="F65" s="24" t="str">
        <x:v>从12开始，向更大的数走4步。</x:v>
      </x:c>
      <x:c r="G65" s="24" t="str">
        <x:v>增加后的结果仍然可以用加法表示。</x:v>
      </x:c>
      <x:c r="H65" s="24" t="str">
        <x:v>12 + 4 等于几？</x:v>
      </x:c>
      <x:c r="I65" s="24" t="str">
        <x:v>尚无直接泄题的静态结论；需教研按四级提示逐句确认。</x:v>
      </x:c>
      <x:c r="J65" s="24" t="str">
        <x:v>PENDING</x:v>
      </x:c>
    </x:row>
    <x:row r="66" ht="70" customHeight="1">
      <x:c r="A66" s="24" t="n">
        <x:v>65</x:v>
      </x:c>
      <x:c r="B66" s="24" t="str">
        <x:v>换成步数中的多</x:v>
      </x:c>
      <x:c r="C66" s="24" t="str">
        <x:v>c88410f2-f810-47b4-8ae4-cc218b140a88</x:v>
      </x:c>
      <x:c r="D66" s="24" t="str">
        <x:v>迁移观察</x:v>
      </x:c>
      <x:c r="E66" s="24" t="str">
        <x:v>9千步是谁的基准数量？</x:v>
      </x:c>
      <x:c r="F66" s="24" t="str">
        <x:v>小安的线段要比小雨多出一段4。</x:v>
      </x:c>
      <x:c r="G66" s="24" t="str">
        <x:v>求较大数量，要把多出的4加到基准上。</x:v>
      </x:c>
      <x:c r="H66" s="24" t="str">
        <x:v>9 + 4 等于几？</x:v>
      </x:c>
      <x:c r="I66" s="24" t="str">
        <x:v>尚无直接泄题的静态结论；需教研按四级提示逐句确认。</x:v>
      </x:c>
      <x:c r="J66" s="24" t="str">
        <x:v>PENDING</x:v>
      </x:c>
    </x:row>
    <x:row r="67" ht="70" customHeight="1">
      <x:c r="A67" s="24" t="n">
        <x:v>66</x:v>
      </x:c>
      <x:c r="B67" s="24" t="str">
        <x:v>换成水杯里的另一部分</x:v>
      </x:c>
      <x:c r="C67" s="24" t="str">
        <x:v>b1a30690-f909-4ab6-8414-26a1378872e3</x:v>
      </x:c>
      <x:c r="D67" s="24" t="str">
        <x:v>迁移观察</x:v>
      </x:c>
      <x:c r="E67" s="24" t="str">
        <x:v>18表示整体还是部分？</x:v>
      </x:c>
      <x:c r="F67" s="24" t="str">
        <x:v>用一整条线段表示18，再标出已知的7。</x:v>
      </x:c>
      <x:c r="G67" s="24" t="str">
        <x:v>要求另一部分，要从整体中去掉已知部分。</x:v>
      </x:c>
      <x:c r="H67" s="24" t="str">
        <x:v>18 - 7 等于几？</x:v>
      </x:c>
      <x:c r="I67" s="24" t="str">
        <x:v>尚无直接泄题的静态结论；需教研按四级提示逐句确认。</x:v>
      </x:c>
      <x:c r="J67" s="24" t="str">
        <x:v>PENDING</x:v>
      </x:c>
    </x:row>
    <x:row r="68" ht="70" customHeight="1">
      <x:c r="A68" s="24" t="n">
        <x:v>67</x:v>
      </x:c>
      <x:c r="B68" s="24" t="str">
        <x:v>V14-P0-149</x:v>
      </x:c>
      <x:c r="C68" s="24" t="str">
        <x:v>845c6fea-418f-4365-a25e-b50e5b5040f8</x:v>
      </x:c>
      <x:c r="D68" s="24" t="str">
        <x:v>迁移观察</x:v>
      </x:c>
      <x:c r="E68" s="24" t="str">
        <x:v>先看前四个符号中哪些在重复。</x:v>
      </x:c>
      <x:c r="F68" s="24" t="str">
        <x:v>比较第1项与第3项，再比较第2项与第4项。</x:v>
      </x:c>
      <x:c r="G68" s="24" t="str">
        <x:v>找到两种交替的符号，确认第5项应该跟随哪一种。</x:v>
      </x:c>
      <x:c r="H68" s="24" t="str">
        <x:v>按顺序填满所有空位，最后从头读一遍周期。</x:v>
      </x:c>
      <x:c r="I68" s="24" t="str">
        <x:v>尚无直接泄题的静态结论；需教研按四级提示逐句确认。</x:v>
      </x:c>
      <x:c r="J68" s="24" t="str">
        <x:v>PENDING</x:v>
      </x:c>
    </x:row>
    <x:row r="69" ht="70" customHeight="1">
      <x:c r="A69" s="24" t="n">
        <x:v>68</x:v>
      </x:c>
      <x:c r="B69" s="24" t="str">
        <x:v>V14-P0-155</x:v>
      </x:c>
      <x:c r="C69" s="24" t="str">
        <x:v>57c34c52-7fc2-4ba8-9f66-2a60c622d6f4</x:v>
      </x:c>
      <x:c r="D69" s="24" t="str">
        <x:v>迁移观察</x:v>
      </x:c>
      <x:c r="E69" s="24" t="str">
        <x:v>先看前四个符号中哪些在重复。</x:v>
      </x:c>
      <x:c r="F69" s="24" t="str">
        <x:v>比较第1项与第3项，再比较第2项与第4项。</x:v>
      </x:c>
      <x:c r="G69" s="24" t="str">
        <x:v>找到两种交替的符号，确认第5项应该跟随哪一种。</x:v>
      </x:c>
      <x:c r="H69" s="24" t="str">
        <x:v>按顺序填满所有空位，最后从头读一遍周期。</x:v>
      </x:c>
      <x:c r="I69" s="24" t="str">
        <x:v>尚无直接泄题的静态结论；需教研按四级提示逐句确认。</x:v>
      </x:c>
      <x:c r="J69" s="24" t="str">
        <x:v>PENDING</x:v>
      </x:c>
    </x:row>
    <x:row r="70" ht="70" customHeight="1">
      <x:c r="A70" s="24" t="n">
        <x:v>69</x:v>
      </x:c>
      <x:c r="B70" s="24" t="str">
        <x:v>V14-P0-145</x:v>
      </x:c>
      <x:c r="C70" s="24" t="str">
        <x:v>3d60a583-d90d-442d-9e2d-d78ab970b414</x:v>
      </x:c>
      <x:c r="D70" s="24" t="str">
        <x:v>迁移观察</x:v>
      </x:c>
      <x:c r="E70" s="24" t="str">
        <x:v>先看前四个符号中哪些在重复。</x:v>
      </x:c>
      <x:c r="F70" s="24" t="str">
        <x:v>比较第1项与第3项，再比较第2项与第4项。</x:v>
      </x:c>
      <x:c r="G70" s="24" t="str">
        <x:v>找到两种交替的符号，确认第5项应该跟随哪一种。</x:v>
      </x:c>
      <x:c r="H70" s="24" t="str">
        <x:v>按顺序填满所有空位，最后从头读一遍周期。</x:v>
      </x:c>
      <x:c r="I70" s="24" t="str">
        <x:v>尚无直接泄题的静态结论；需教研按四级提示逐句确认。</x:v>
      </x:c>
      <x:c r="J70" s="24" t="str">
        <x:v>PENDING</x:v>
      </x:c>
    </x:row>
    <x:row r="71" ht="70" customHeight="1">
      <x:c r="A71" s="24" t="n">
        <x:v>70</x:v>
      </x:c>
      <x:c r="B71" s="24" t="str">
        <x:v>两步变化的数轴模型</x:v>
      </x:c>
      <x:c r="C71" s="24" t="str">
        <x:v>bb376fbd-06c8-4604-91c9-4cc195567a49</x:v>
      </x:c>
      <x:c r="D71" s="24" t="str">
        <x:v>建模表征</x:v>
      </x:c>
      <x:c r="E71" s="24" t="str">
        <x:v>两次变化的方向一样吗？</x:v>
      </x:c>
      <x:c r="F71" s="24" t="str">
        <x:v>从9开始，第一站向前跳6，第二站向后跳4。</x:v>
      </x:c>
      <x:c r="G71" s="24" t="str">
        <x:v>把两次跳步都画在同一条数轴上。</x:v>
      </x:c>
      <x:c r="H71" s="24" t="str">
        <x:v>先算9 + 6，再把结果减4。最后是多少？</x:v>
      </x:c>
      <x:c r="I71" s="24" t="str">
        <x:v>四级提示按教研口径确认；不得把高提示后的正确作答等同独立掌握。</x:v>
      </x:c>
      <x:c r="J71" s="24" t="str">
        <x:v>PENDING</x:v>
      </x:c>
    </x:row>
    <x:row r="72" ht="70" customHeight="1">
      <x:c r="A72" s="24" t="n">
        <x:v>71</x:v>
      </x:c>
      <x:c r="B72" s="24" t="str">
        <x:v>先合起来再拿走</x:v>
      </x:c>
      <x:c r="C72" s="24" t="str">
        <x:v>76d49907-c092-4822-b0ea-344850970da0</x:v>
      </x:c>
      <x:c r="D72" s="24" t="str">
        <x:v>策略选择</x:v>
      </x:c>
      <x:c r="E72" s="24" t="str">
        <x:v>先发生了什么变化？后发生了什么变化？</x:v>
      </x:c>
      <x:c r="F72" s="24" t="str">
        <x:v>先从8增加5，再从得到的数量减少4。</x:v>
      </x:c>
      <x:c r="G72" s="24" t="str">
        <x:v>第一步用加法求开来后的数量，第二步再减去开走的4辆。</x:v>
      </x:c>
      <x:c r="H72" s="24" t="str">
        <x:v>先算8 + 5，再把结果减4。最后是多少？</x:v>
      </x:c>
      <x:c r="I72" s="24" t="str">
        <x:v>四级提示按教研口径确认；不得把高提示后的正确作答等同独立掌握。</x:v>
      </x:c>
      <x:c r="J72" s="24" t="str">
        <x:v>PENDING</x:v>
      </x:c>
    </x:row>
    <x:row r="73" ht="70" customHeight="1">
      <x:c r="A73" s="24" t="n">
        <x:v>72</x:v>
      </x:c>
      <x:c r="B73" s="24" t="str">
        <x:v>换成书架的连续变化</x:v>
      </x:c>
      <x:c r="C73" s="24" t="str">
        <x:v>552b39e3-7127-4c2d-a506-628259bb08c7</x:v>
      </x:c>
      <x:c r="D73" s="24" t="str">
        <x:v>迁移观察</x:v>
      </x:c>
      <x:c r="E73" s="24" t="str">
        <x:v>先判断两次变化分别是增加还是减少。</x:v>
      </x:c>
      <x:c r="F73" s="24" t="str">
        <x:v>从8开始，先向前走5步，再向后走4步。</x:v>
      </x:c>
      <x:c r="G73" s="24" t="str">
        <x:v>第一步加5，第二步减4。</x:v>
      </x:c>
      <x:c r="H73" s="24" t="str">
        <x:v>先算8 + 5，再把结果减4。最后是多少？</x:v>
      </x:c>
      <x:c r="I73" s="24" t="str">
        <x:v>四级提示按教研口径确认；不得把高提示后的正确作答等同独立掌握。</x:v>
      </x:c>
      <x:c r="J73" s="24" t="str">
        <x:v>PENDING</x:v>
      </x:c>
    </x:row>
    <x:row r="74" ht="70" customHeight="1">
      <x:c r="A74" s="24" t="n">
        <x:v>73</x:v>
      </x:c>
      <x:c r="B74" s="24" t="str">
        <x:v>数轴跳跳跳（V2链）</x:v>
      </x:c>
      <x:c r="C74" s="24" t="str">
        <x:v>e0a2a067-175b-480d-a614-e326212923f7</x:v>
      </x:c>
      <x:c r="D74" s="24" t="str">
        <x:v>数量关系</x:v>
      </x:c>
      <x:c r="E74" s="24" t="str">
        <x:v>先在数轴上找到起点20。</x:v>
      </x:c>
      <x:c r="F74" s="24" t="str">
        <x:v>向右跳一步是变多还是变少？一步跳几？</x:v>
      </x:c>
      <x:c r="G74" s="24" t="str">
        <x:v>连续跳3次相同步长，可以用加法。</x:v>
      </x:c>
      <x:c r="H74" s="24" t="str">
        <x:v>20 + 5 + 5 + 5 等于几？</x:v>
      </x:c>
      <x:c r="I74" s="24" t="str">
        <x:v>四级提示按教研口径确认；不得把高提示后的正确作答等同独立掌握。</x:v>
      </x:c>
      <x:c r="J74" s="24" t="str">
        <x:v>PENDING</x:v>
      </x:c>
    </x:row>
  </x:sheetData>
  <x:pageMargins left="0.7" right="0.7" top="0.75" bottom="0.75" header="0.3" footer="0.3"/>
  <x:tableParts count="1">
    <x:tablePart xmlns:r="http://schemas.openxmlformats.org/officeDocument/2006/relationships" r:id="Rd7f4d214efd44d97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24" hidden="0" customWidth="1"/>
    <x:col min="3" max="3" width="37" hidden="0" customWidth="1"/>
    <x:col min="4" max="4" width="12" hidden="0" customWidth="1"/>
    <x:col min="5" max="5" width="12" hidden="0" customWidth="1"/>
    <x:col min="6" max="6" width="23" hidden="0" customWidth="1"/>
    <x:col min="7" max="7" width="8" hidden="0" customWidth="1"/>
    <x:col min="8" max="8" width="15" hidden="0" customWidth="1"/>
    <x:col min="9" max="9" width="18" hidden="0" customWidth="1"/>
    <x:col min="10" max="10" width="24" hidden="0" customWidth="1"/>
    <x:col min="11" max="11" width="34" hidden="0" customWidth="1"/>
    <x:col min="12" max="12" width="20" hidden="0" customWidth="1"/>
    <x:col min="13" max="13" width="15" hidden="0" customWidth="1"/>
    <x:col min="14" max="14" width="15" hidden="0" customWidth="1"/>
    <x:col min="15" max="15" width="38" hidden="0" customWidth="1"/>
  </x:cols>
  <x:sheetData>
    <x:row r="1" ht="30" customHeight="1">
      <x:c r="A1" s="17" t="str">
        <x:v>序号</x:v>
      </x:c>
      <x:c r="B1" s="17" t="str">
        <x:v>标题</x:v>
      </x:c>
      <x:c r="C1" s="17" t="str">
        <x:v>当前RVID</x:v>
      </x:c>
      <x:c r="D1" s="17" t="str">
        <x:v>能力</x:v>
      </x:c>
      <x:c r="E1" s="17" t="str">
        <x:v>Schema</x:v>
      </x:c>
      <x:c r="F1" s="17" t="str">
        <x:v>Renderer</x:v>
      </x:c>
      <x:c r="G1" s="17" t="str">
        <x:v>难度</x:v>
      </x:c>
      <x:c r="H1" s="17" t="str">
        <x:v>标准答案</x:v>
      </x:c>
      <x:c r="I1" s="17" t="str">
        <x:v>本轮覆盖</x:v>
      </x:c>
      <x:c r="J1" s="17" t="str">
        <x:v>AI教学建议</x:v>
      </x:c>
      <x:c r="K1" s="17" t="str">
        <x:v>版本血缘</x:v>
      </x:c>
      <x:c r="L1" s="17" t="str">
        <x:v>教研正式结论</x:v>
      </x:c>
      <x:c r="M1" s="17" t="str">
        <x:v>评审人</x:v>
      </x:c>
      <x:c r="N1" s="17" t="str">
        <x:v>日期</x:v>
      </x:c>
      <x:c r="O1" s="17" t="str">
        <x:v>签认意见</x:v>
      </x:c>
    </x:row>
    <x:row r="2" ht="34" customHeight="1">
      <x:c r="A2" s="24" t="n">
        <x:v>1</x:v>
      </x:c>
      <x:c r="B2" s="24" t="str">
        <x:v>[T155] V14-P0-151</x:v>
      </x:c>
      <x:c r="C2" s="24" t="str">
        <x:v>4e850544-94db-4701-964e-3b939fb3cf42</x:v>
      </x:c>
      <x:c r="D2" s="24" t="str">
        <x:v>检查验算</x:v>
      </x:c>
      <x:c r="E2" s="24" t="str">
        <x:v>2.0</x:v>
      </x:c>
      <x:c r="F2" s="24" t="str">
        <x:v>V2 / pattern-board</x:v>
      </x:c>
      <x:c r="G2" s="24" t="n">
        <x:v>1</x:v>
      </x:c>
      <x:c r="H2" s="24" t="str">
        <x:v>35</x:v>
      </x:c>
      <x:c r="I2" s="24" t="str">
        <x:v>本轮未深审</x:v>
      </x:c>
      <x:c r="J2" s="24" t="str">
        <x:v>PENDING_AI_DEEP_REVIEW</x:v>
      </x:c>
      <x:c r="K2" s="24" t="str">
        <x:v>原始未动</x:v>
      </x:c>
      <x:c r="L2" s="24" t="str">
        <x:v>PENDING</x:v>
      </x:c>
      <x:c r="M2" s="24" t="str"/>
      <x:c r="N2" s="24" t="str"/>
      <x:c r="O2" s="24" t="str"/>
    </x:row>
    <x:row r="3" ht="34" customHeight="1">
      <x:c r="A3" s="24" t="n">
        <x:v>2</x:v>
      </x:c>
      <x:c r="B3" s="24" t="str">
        <x:v>[T155] V14-P0-126</x:v>
      </x:c>
      <x:c r="C3" s="24" t="str">
        <x:v>770ab57a-a1e2-4c78-8a9e-d89db4559ce9</x:v>
      </x:c>
      <x:c r="D3" s="24" t="str">
        <x:v>检查验算</x:v>
      </x:c>
      <x:c r="E3" s="24" t="str">
        <x:v>2.0</x:v>
      </x:c>
      <x:c r="F3" s="24" t="str">
        <x:v>V2 / ruler</x:v>
      </x:c>
      <x:c r="G3" s="24" t="n">
        <x:v>1</x:v>
      </x:c>
      <x:c r="H3" s="24" t="str">
        <x:v>7</x:v>
      </x:c>
      <x:c r="I3" s="24" t="str">
        <x:v>重点逐题预审</x:v>
      </x:c>
      <x:c r="J3" s="24" t="str">
        <x:v>REVISION_REQUIRED</x:v>
      </x:c>
      <x:c r="K3" s="24" t="str">
        <x:v>原始未动</x:v>
      </x:c>
      <x:c r="L3" s="24" t="str">
        <x:v>PENDING</x:v>
      </x:c>
      <x:c r="M3" s="24" t="str"/>
      <x:c r="N3" s="24" t="str"/>
      <x:c r="O3" s="24" t="str"/>
    </x:row>
    <x:row r="4" ht="34" customHeight="1">
      <x:c r="A4" s="24" t="n">
        <x:v>3</x:v>
      </x:c>
      <x:c r="B4" s="24" t="str">
        <x:v>[T155] V14-P0-086</x:v>
      </x:c>
      <x:c r="C4" s="24" t="str">
        <x:v>b0b699be-3ffe-4f42-b15e-6b8dbe5603fa</x:v>
      </x:c>
      <x:c r="D4" s="24" t="str">
        <x:v>检查验算</x:v>
      </x:c>
      <x:c r="E4" s="24" t="str">
        <x:v>2.0</x:v>
      </x:c>
      <x:c r="F4" s="24" t="str">
        <x:v>V2 / estimation-canvas</x:v>
      </x:c>
      <x:c r="G4" s="24" t="n">
        <x:v>1</x:v>
      </x:c>
      <x:c r="H4" s="24" t="str">
        <x:v>50</x:v>
      </x:c>
      <x:c r="I4" s="24" t="str">
        <x:v>重点逐题预审</x:v>
      </x:c>
      <x:c r="J4" s="24" t="str">
        <x:v>REVISION_REQUIRED</x:v>
      </x:c>
      <x:c r="K4" s="24" t="str">
        <x:v>原始未动</x:v>
      </x:c>
      <x:c r="L4" s="24" t="str">
        <x:v>PENDING</x:v>
      </x:c>
      <x:c r="M4" s="24" t="str"/>
      <x:c r="N4" s="24" t="str"/>
      <x:c r="O4" s="24" t="str"/>
    </x:row>
    <x:row r="5" ht="34" customHeight="1">
      <x:c r="A5" s="24" t="n">
        <x:v>4</x:v>
      </x:c>
      <x:c r="B5" s="24" t="str">
        <x:v>检查加法答案</x:v>
      </x:c>
      <x:c r="C5" s="24" t="str">
        <x:v>079a7e47-fd86-46d9-92e6-6ff5c7b299e5</x:v>
      </x:c>
      <x:c r="D5" s="24" t="str">
        <x:v>检查验算</x:v>
      </x:c>
      <x:c r="E5" s="24" t="str">
        <x:v>1.0</x:v>
      </x:c>
      <x:c r="F5" s="24" t="str">
        <x:v>V1 / number</x:v>
      </x:c>
      <x:c r="G5" s="24" t="n">
        <x:v>2</x:v>
      </x:c>
      <x:c r="H5" s="24" t="str">
        <x:v>1</x:v>
      </x:c>
      <x:c r="I5" s="24" t="str">
        <x:v>本轮未深审</x:v>
      </x:c>
      <x:c r="J5" s="24" t="str">
        <x:v>PENDING_AI_DEEP_REVIEW</x:v>
      </x:c>
      <x:c r="K5" s="24" t="str">
        <x:v>原始未动</x:v>
      </x:c>
      <x:c r="L5" s="24" t="str">
        <x:v>PENDING</x:v>
      </x:c>
      <x:c r="M5" s="24" t="str"/>
      <x:c r="N5" s="24" t="str"/>
      <x:c r="O5" s="24" t="str"/>
    </x:row>
    <x:row r="6" ht="34" customHeight="1">
      <x:c r="A6" s="24" t="n">
        <x:v>5</x:v>
      </x:c>
      <x:c r="B6" s="24" t="str">
        <x:v>检查减法答案</x:v>
      </x:c>
      <x:c r="C6" s="24" t="str">
        <x:v>dd1147dc-ccba-460d-8546-8c9f7b7d264a</x:v>
      </x:c>
      <x:c r="D6" s="24" t="str">
        <x:v>检查验算</x:v>
      </x:c>
      <x:c r="E6" s="24" t="str">
        <x:v>1.0</x:v>
      </x:c>
      <x:c r="F6" s="24" t="str">
        <x:v>V1 / number</x:v>
      </x:c>
      <x:c r="G6" s="24" t="n">
        <x:v>2</x:v>
      </x:c>
      <x:c r="H6" s="24" t="str">
        <x:v>0</x:v>
      </x:c>
      <x:c r="I6" s="24" t="str">
        <x:v>本轮未深审</x:v>
      </x:c>
      <x:c r="J6" s="24" t="str">
        <x:v>PENDING_AI_DEEP_REVIEW</x:v>
      </x:c>
      <x:c r="K6" s="24" t="str">
        <x:v>原始未动</x:v>
      </x:c>
      <x:c r="L6" s="24" t="str">
        <x:v>PENDING</x:v>
      </x:c>
      <x:c r="M6" s="24" t="str"/>
      <x:c r="N6" s="24" t="str"/>
      <x:c r="O6" s="24" t="str"/>
    </x:row>
    <x:row r="7" ht="34" customHeight="1">
      <x:c r="A7" s="24" t="n">
        <x:v>6</x:v>
      </x:c>
      <x:c r="B7" s="24" t="str">
        <x:v>[T155] V14-P0-122</x:v>
      </x:c>
      <x:c r="C7" s="24" t="str">
        <x:v>e721a4c5-cee3-4660-9a4c-f33503bacaa6</x:v>
      </x:c>
      <x:c r="D7" s="24" t="str">
        <x:v>检查验算</x:v>
      </x:c>
      <x:c r="E7" s="24" t="str">
        <x:v>2.0</x:v>
      </x:c>
      <x:c r="F7" s="24" t="str">
        <x:v>V2 / ruler</x:v>
      </x:c>
      <x:c r="G7" s="24" t="n">
        <x:v>2</x:v>
      </x:c>
      <x:c r="H7" s="24" t="str">
        <x:v>7</x:v>
      </x:c>
      <x:c r="I7" s="24" t="str">
        <x:v>重点逐题预审</x:v>
      </x:c>
      <x:c r="J7" s="24" t="str">
        <x:v>REVISION_REQUIRED</x:v>
      </x:c>
      <x:c r="K7" s="24" t="str">
        <x:v>原始未动</x:v>
      </x:c>
      <x:c r="L7" s="24" t="str">
        <x:v>PENDING</x:v>
      </x:c>
      <x:c r="M7" s="24" t="str"/>
      <x:c r="N7" s="24" t="str"/>
      <x:c r="O7" s="24" t="str"/>
    </x:row>
    <x:row r="8" ht="34" customHeight="1">
      <x:c r="A8" s="24" t="n">
        <x:v>7</x:v>
      </x:c>
      <x:c r="B8" s="24" t="str">
        <x:v>[T155] V14-P0-147</x:v>
      </x:c>
      <x:c r="C8" s="24" t="str">
        <x:v>95b16f9f-c5a4-4791-8f8a-00c25d744a61</x:v>
      </x:c>
      <x:c r="D8" s="24" t="str">
        <x:v>检查验算</x:v>
      </x:c>
      <x:c r="E8" s="24" t="str">
        <x:v>2.0</x:v>
      </x:c>
      <x:c r="F8" s="24" t="str">
        <x:v>V2 / pattern-board</x:v>
      </x:c>
      <x:c r="G8" s="24" t="n">
        <x:v>2</x:v>
      </x:c>
      <x:c r="H8" s="24" t="str">
        <x:v>31</x:v>
      </x:c>
      <x:c r="I8" s="24" t="str">
        <x:v>本轮未深审</x:v>
      </x:c>
      <x:c r="J8" s="24" t="str">
        <x:v>PENDING_AI_DEEP_REVIEW</x:v>
      </x:c>
      <x:c r="K8" s="24" t="str">
        <x:v>原始未动</x:v>
      </x:c>
      <x:c r="L8" s="24" t="str">
        <x:v>PENDING</x:v>
      </x:c>
      <x:c r="M8" s="24" t="str"/>
      <x:c r="N8" s="24" t="str"/>
      <x:c r="O8" s="24" t="str"/>
    </x:row>
    <x:row r="9" ht="34" customHeight="1">
      <x:c r="A9" s="24" t="n">
        <x:v>8</x:v>
      </x:c>
      <x:c r="B9" s="24" t="str">
        <x:v>[T155] V14-P0-082</x:v>
      </x:c>
      <x:c r="C9" s="24" t="str">
        <x:v>48817fba-ee0d-4101-8cb2-9ac5b4e66b91</x:v>
      </x:c>
      <x:c r="D9" s="24" t="str">
        <x:v>检查验算</x:v>
      </x:c>
      <x:c r="E9" s="24" t="str">
        <x:v>2.0</x:v>
      </x:c>
      <x:c r="F9" s="24" t="str">
        <x:v>V2 / estimation-canvas</x:v>
      </x:c>
      <x:c r="G9" s="24" t="n">
        <x:v>2</x:v>
      </x:c>
      <x:c r="H9" s="24" t="str">
        <x:v>30</x:v>
      </x:c>
      <x:c r="I9" s="24" t="str">
        <x:v>重点逐题预审</x:v>
      </x:c>
      <x:c r="J9" s="24" t="str">
        <x:v>REVISION_REQUIRED</x:v>
      </x:c>
      <x:c r="K9" s="24" t="str">
        <x:v>原始未动</x:v>
      </x:c>
      <x:c r="L9" s="24" t="str">
        <x:v>PENDING</x:v>
      </x:c>
      <x:c r="M9" s="24" t="str"/>
      <x:c r="N9" s="24" t="str"/>
      <x:c r="O9" s="24" t="str"/>
    </x:row>
    <x:row r="10" ht="34" customHeight="1">
      <x:c r="A10" s="24" t="n">
        <x:v>9</x:v>
      </x:c>
      <x:c r="B10" s="24" t="str">
        <x:v>检查两步结果</x:v>
      </x:c>
      <x:c r="C10" s="24" t="str">
        <x:v>237f47fc-c4a2-49da-b7b7-c9c08d20cfe6</x:v>
      </x:c>
      <x:c r="D10" s="24" t="str">
        <x:v>检查验算</x:v>
      </x:c>
      <x:c r="E10" s="24" t="str">
        <x:v>1.0</x:v>
      </x:c>
      <x:c r="F10" s="24" t="str">
        <x:v>V1 / number</x:v>
      </x:c>
      <x:c r="G10" s="24" t="n">
        <x:v>3</x:v>
      </x:c>
      <x:c r="H10" s="24" t="str">
        <x:v>1</x:v>
      </x:c>
      <x:c r="I10" s="24" t="str">
        <x:v>本轮未深审</x:v>
      </x:c>
      <x:c r="J10" s="24" t="str">
        <x:v>PENDING_AI_DEEP_REVIEW</x:v>
      </x:c>
      <x:c r="K10" s="24" t="str">
        <x:v>原始未动</x:v>
      </x:c>
      <x:c r="L10" s="24" t="str">
        <x:v>PENDING</x:v>
      </x:c>
      <x:c r="M10" s="24" t="str"/>
      <x:c r="N10" s="24" t="str"/>
      <x:c r="O10" s="24" t="str"/>
    </x:row>
    <x:row r="11" ht="34" customHeight="1">
      <x:c r="A11" s="24" t="n">
        <x:v>10</x:v>
      </x:c>
      <x:c r="B11" s="24" t="str">
        <x:v>检查比较关系</x:v>
      </x:c>
      <x:c r="C11" s="24" t="str">
        <x:v>2dd5be20-77ea-400c-aa68-4702ecae705b</x:v>
      </x:c>
      <x:c r="D11" s="24" t="str">
        <x:v>检查验算</x:v>
      </x:c>
      <x:c r="E11" s="24" t="str">
        <x:v>1.0</x:v>
      </x:c>
      <x:c r="F11" s="24" t="str">
        <x:v>V1 / number</x:v>
      </x:c>
      <x:c r="G11" s="24" t="n">
        <x:v>3</x:v>
      </x:c>
      <x:c r="H11" s="24" t="str">
        <x:v>0</x:v>
      </x:c>
      <x:c r="I11" s="24" t="str">
        <x:v>本轮未深审</x:v>
      </x:c>
      <x:c r="J11" s="24" t="str">
        <x:v>PENDING_AI_DEEP_REVIEW</x:v>
      </x:c>
      <x:c r="K11" s="24" t="str">
        <x:v>原始未动</x:v>
      </x:c>
      <x:c r="L11" s="24" t="str">
        <x:v>PENDING</x:v>
      </x:c>
      <x:c r="M11" s="24" t="str"/>
      <x:c r="N11" s="24" t="str"/>
      <x:c r="O11" s="24" t="str"/>
    </x:row>
    <x:row r="12" ht="34" customHeight="1">
      <x:c r="A12" s="24" t="n">
        <x:v>11</x:v>
      </x:c>
      <x:c r="B12" s="24" t="str">
        <x:v>[T155] V14-P0-088</x:v>
      </x:c>
      <x:c r="C12" s="24" t="str">
        <x:v>b7282785-3ec0-462e-aeeb-aca43d5b921e</x:v>
      </x:c>
      <x:c r="D12" s="24" t="str">
        <x:v>检查验算</x:v>
      </x:c>
      <x:c r="E12" s="24" t="str">
        <x:v>2.0</x:v>
      </x:c>
      <x:c r="F12" s="24" t="str">
        <x:v>V2 / estimation-canvas</x:v>
      </x:c>
      <x:c r="G12" s="24" t="n">
        <x:v>3</x:v>
      </x:c>
      <x:c r="H12" s="24" t="str">
        <x:v>50</x:v>
      </x:c>
      <x:c r="I12" s="24" t="str">
        <x:v>本轮未深审</x:v>
      </x:c>
      <x:c r="J12" s="24" t="str">
        <x:v>PENDING_AI_DEEP_REVIEW</x:v>
      </x:c>
      <x:c r="K12" s="24" t="str">
        <x:v>原始未动</x:v>
      </x:c>
      <x:c r="L12" s="24" t="str">
        <x:v>PENDING</x:v>
      </x:c>
      <x:c r="M12" s="24" t="str"/>
      <x:c r="N12" s="24" t="str"/>
      <x:c r="O12" s="24" t="str"/>
    </x:row>
    <x:row r="13" ht="34" customHeight="1">
      <x:c r="A13" s="24" t="n">
        <x:v>12</x:v>
      </x:c>
      <x:c r="B13" s="24" t="str">
        <x:v>[T155] V14-P0-128</x:v>
      </x:c>
      <x:c r="C13" s="24" t="str">
        <x:v>7abf0ae3-712e-4f07-a069-313066c5eb49</x:v>
      </x:c>
      <x:c r="D13" s="24" t="str">
        <x:v>检查验算</x:v>
      </x:c>
      <x:c r="E13" s="24" t="str">
        <x:v>2.0</x:v>
      </x:c>
      <x:c r="F13" s="24" t="str">
        <x:v>V2 / ruler</x:v>
      </x:c>
      <x:c r="G13" s="24" t="n">
        <x:v>3</x:v>
      </x:c>
      <x:c r="H13" s="24" t="str">
        <x:v>8</x:v>
      </x:c>
      <x:c r="I13" s="24" t="str">
        <x:v>本轮未深审</x:v>
      </x:c>
      <x:c r="J13" s="24" t="str">
        <x:v>PENDING_AI_DEEP_REVIEW</x:v>
      </x:c>
      <x:c r="K13" s="24" t="str">
        <x:v>原始未动</x:v>
      </x:c>
      <x:c r="L13" s="24" t="str">
        <x:v>PENDING</x:v>
      </x:c>
      <x:c r="M13" s="24" t="str"/>
      <x:c r="N13" s="24" t="str"/>
      <x:c r="O13" s="24" t="str"/>
    </x:row>
    <x:row r="14" ht="34" customHeight="1">
      <x:c r="A14" s="24" t="n">
        <x:v>13</x:v>
      </x:c>
      <x:c r="B14" s="24" t="str">
        <x:v>检查两步推导有没有漏步</x:v>
      </x:c>
      <x:c r="C14" s="24" t="str">
        <x:v>8d0f2b86-e31a-4881-8dc1-ea277ba99d2e</x:v>
      </x:c>
      <x:c r="D14" s="24" t="str">
        <x:v>检查验算</x:v>
      </x:c>
      <x:c r="E14" s="24" t="str">
        <x:v>1.0</x:v>
      </x:c>
      <x:c r="F14" s="24" t="str">
        <x:v>V1 / number</x:v>
      </x:c>
      <x:c r="G14" s="24" t="n">
        <x:v>4</x:v>
      </x:c>
      <x:c r="H14" s="24" t="str">
        <x:v>1</x:v>
      </x:c>
      <x:c r="I14" s="24" t="str">
        <x:v>本轮未深审</x:v>
      </x:c>
      <x:c r="J14" s="24" t="str">
        <x:v>PENDING_AI_DEEP_REVIEW</x:v>
      </x:c>
      <x:c r="K14" s="24" t="str">
        <x:v>原始未动</x:v>
      </x:c>
      <x:c r="L14" s="24" t="str">
        <x:v>PENDING</x:v>
      </x:c>
      <x:c r="M14" s="24" t="str"/>
      <x:c r="N14" s="24" t="str"/>
      <x:c r="O14" s="24" t="str"/>
    </x:row>
    <x:row r="15" ht="34" customHeight="1">
      <x:c r="A15" s="24" t="n">
        <x:v>14</x:v>
      </x:c>
      <x:c r="B15" s="24" t="str">
        <x:v>[T155] V14-P0-124</x:v>
      </x:c>
      <x:c r="C15" s="24" t="str">
        <x:v>2c5f8ead-d4cf-4a31-9dfd-4d24bbce8277</x:v>
      </x:c>
      <x:c r="D15" s="24" t="str">
        <x:v>检查验算</x:v>
      </x:c>
      <x:c r="E15" s="24" t="str">
        <x:v>2.0</x:v>
      </x:c>
      <x:c r="F15" s="24" t="str">
        <x:v>V2 / ruler</x:v>
      </x:c>
      <x:c r="G15" s="24" t="n">
        <x:v>4</x:v>
      </x:c>
      <x:c r="H15" s="24" t="str">
        <x:v>6</x:v>
      </x:c>
      <x:c r="I15" s="24" t="str">
        <x:v>本轮未深审</x:v>
      </x:c>
      <x:c r="J15" s="24" t="str">
        <x:v>PENDING_AI_DEEP_REVIEW</x:v>
      </x:c>
      <x:c r="K15" s="24" t="str">
        <x:v>原始未动</x:v>
      </x:c>
      <x:c r="L15" s="24" t="str">
        <x:v>PENDING</x:v>
      </x:c>
      <x:c r="M15" s="24" t="str"/>
      <x:c r="N15" s="24" t="str"/>
      <x:c r="O15" s="24" t="str"/>
    </x:row>
    <x:row r="16" ht="34" customHeight="1">
      <x:c r="A16" s="24" t="n">
        <x:v>15</x:v>
      </x:c>
      <x:c r="B16" s="24" t="str">
        <x:v>[T155] V14-P0-084</x:v>
      </x:c>
      <x:c r="C16" s="24" t="str">
        <x:v>bb306616-e271-4df1-b63d-2fcb2d75a90d</x:v>
      </x:c>
      <x:c r="D16" s="24" t="str">
        <x:v>检查验算</x:v>
      </x:c>
      <x:c r="E16" s="24" t="str">
        <x:v>2.0</x:v>
      </x:c>
      <x:c r="F16" s="24" t="str">
        <x:v>V2 / estimation-canvas</x:v>
      </x:c>
      <x:c r="G16" s="24" t="n">
        <x:v>4</x:v>
      </x:c>
      <x:c r="H16" s="24" t="str">
        <x:v>30</x:v>
      </x:c>
      <x:c r="I16" s="24" t="str">
        <x:v>本轮未深审</x:v>
      </x:c>
      <x:c r="J16" s="24" t="str">
        <x:v>PENDING_AI_DEEP_REVIEW</x:v>
      </x:c>
      <x:c r="K16" s="24" t="str">
        <x:v>原始未动</x:v>
      </x:c>
      <x:c r="L16" s="24" t="str">
        <x:v>PENDING</x:v>
      </x:c>
      <x:c r="M16" s="24" t="str"/>
      <x:c r="N16" s="24" t="str"/>
      <x:c r="O16" s="24" t="str"/>
    </x:row>
    <x:row r="17" ht="34" customHeight="1">
      <x:c r="A17" s="24" t="n">
        <x:v>16</x:v>
      </x:c>
      <x:c r="B17" s="24" t="str">
        <x:v>哪两个条件要用</x:v>
      </x:c>
      <x:c r="C17" s="24" t="str">
        <x:v>40d0feb3-fe68-4abc-858a-34a78acae86c</x:v>
      </x:c>
      <x:c r="D17" s="24" t="str">
        <x:v>条件识别</x:v>
      </x:c>
      <x:c r="E17" s="24" t="str">
        <x:v>1.0</x:v>
      </x:c>
      <x:c r="F17" s="24" t="str">
        <x:v>V1 / number</x:v>
      </x:c>
      <x:c r="G17" s="24" t="n">
        <x:v>1</x:v>
      </x:c>
      <x:c r="H17" s="24" t="str">
        <x:v>8</x:v>
      </x:c>
      <x:c r="I17" s="24" t="str">
        <x:v>本轮未深审</x:v>
      </x:c>
      <x:c r="J17" s="24" t="str">
        <x:v>PENDING_AI_DEEP_REVIEW</x:v>
      </x:c>
      <x:c r="K17" s="24" t="str">
        <x:v>原始未动</x:v>
      </x:c>
      <x:c r="L17" s="24" t="str">
        <x:v>PENDING</x:v>
      </x:c>
      <x:c r="M17" s="24" t="str"/>
      <x:c r="N17" s="24" t="str"/>
      <x:c r="O17" s="24" t="str"/>
    </x:row>
    <x:row r="18" ht="34" customHeight="1">
      <x:c r="A18" s="24" t="n">
        <x:v>17</x:v>
      </x:c>
      <x:c r="B18" s="24" t="str">
        <x:v>只选水果条件</x:v>
      </x:c>
      <x:c r="C18" s="24" t="str">
        <x:v>3706473c-8f57-45a5-b01a-d6470d826321</x:v>
      </x:c>
      <x:c r="D18" s="24" t="str">
        <x:v>条件识别</x:v>
      </x:c>
      <x:c r="E18" s="24" t="str">
        <x:v>1.0</x:v>
      </x:c>
      <x:c r="F18" s="24" t="str">
        <x:v>V1 / number</x:v>
      </x:c>
      <x:c r="G18" s="24" t="n">
        <x:v>1</x:v>
      </x:c>
      <x:c r="H18" s="24" t="str">
        <x:v>8</x:v>
      </x:c>
      <x:c r="I18" s="24" t="str">
        <x:v>本轮未深审</x:v>
      </x:c>
      <x:c r="J18" s="24" t="str">
        <x:v>PENDING_AI_DEEP_REVIEW</x:v>
      </x:c>
      <x:c r="K18" s="24" t="str">
        <x:v>原始未动</x:v>
      </x:c>
      <x:c r="L18" s="24" t="str">
        <x:v>PENDING</x:v>
      </x:c>
      <x:c r="M18" s="24" t="str"/>
      <x:c r="N18" s="24" t="str"/>
      <x:c r="O18" s="24" t="str"/>
    </x:row>
    <x:row r="19" ht="34" customHeight="1">
      <x:c r="A19" s="24" t="n">
        <x:v>18</x:v>
      </x:c>
      <x:c r="B19" s="24" t="str">
        <x:v>忽略无关书本</x:v>
      </x:c>
      <x:c r="C19" s="24" t="str">
        <x:v>af2cb0d1-e639-4a0c-80bf-8962c6e74bd1</x:v>
      </x:c>
      <x:c r="D19" s="24" t="str">
        <x:v>条件识别</x:v>
      </x:c>
      <x:c r="E19" s="24" t="str">
        <x:v>1.0</x:v>
      </x:c>
      <x:c r="F19" s="24" t="str">
        <x:v>V1 / number</x:v>
      </x:c>
      <x:c r="G19" s="24" t="n">
        <x:v>1</x:v>
      </x:c>
      <x:c r="H19" s="24" t="str">
        <x:v>7</x:v>
      </x:c>
      <x:c r="I19" s="24" t="str">
        <x:v>本轮未深审</x:v>
      </x:c>
      <x:c r="J19" s="24" t="str">
        <x:v>PENDING_AI_DEEP_REVIEW</x:v>
      </x:c>
      <x:c r="K19" s="24" t="str">
        <x:v>原始未动</x:v>
      </x:c>
      <x:c r="L19" s="24" t="str">
        <x:v>PENDING</x:v>
      </x:c>
      <x:c r="M19" s="24" t="str"/>
      <x:c r="N19" s="24" t="str"/>
      <x:c r="O19" s="24" t="str"/>
    </x:row>
    <x:row r="20" ht="34" customHeight="1">
      <x:c r="A20" s="24" t="n">
        <x:v>19</x:v>
      </x:c>
      <x:c r="B20" s="24" t="str">
        <x:v>[T155] V14-P0-106</x:v>
      </x:c>
      <x:c r="C20" s="24" t="str">
        <x:v>59e3f13a-7d55-4e28-9e4b-1fe436f2536d</x:v>
      </x:c>
      <x:c r="D20" s="24" t="str">
        <x:v>条件识别</x:v>
      </x:c>
      <x:c r="E20" s="24" t="str">
        <x:v>2.0</x:v>
      </x:c>
      <x:c r="F20" s="24" t="str">
        <x:v>V2 / sorting-board</x:v>
      </x:c>
      <x:c r="G20" s="24" t="n">
        <x:v>1</x:v>
      </x:c>
      <x:c r="H20" s="24" t="str">
        <x:v>1359</x:v>
      </x:c>
      <x:c r="I20" s="24" t="str">
        <x:v>本轮未深审</x:v>
      </x:c>
      <x:c r="J20" s="24" t="str">
        <x:v>PENDING_AI_DEEP_REVIEW</x:v>
      </x:c>
      <x:c r="K20" s="24" t="str">
        <x:v>原始未动</x:v>
      </x:c>
      <x:c r="L20" s="24" t="str">
        <x:v>PENDING</x:v>
      </x:c>
      <x:c r="M20" s="24" t="str"/>
      <x:c r="N20" s="24" t="str"/>
      <x:c r="O20" s="24" t="str"/>
    </x:row>
    <x:row r="21" ht="34" customHeight="1">
      <x:c r="A21" s="24" t="n">
        <x:v>20</x:v>
      </x:c>
      <x:c r="B21" s="24" t="str">
        <x:v>[T155] V14-P0-146</x:v>
      </x:c>
      <x:c r="C21" s="24" t="str">
        <x:v>75cae864-1d63-44d3-8bc4-3d300e81f550</x:v>
      </x:c>
      <x:c r="D21" s="24" t="str">
        <x:v>条件识别</x:v>
      </x:c>
      <x:c r="E21" s="24" t="str">
        <x:v>2.0</x:v>
      </x:c>
      <x:c r="F21" s="24" t="str">
        <x:v>V2 / pattern-board</x:v>
      </x:c>
      <x:c r="G21" s="24" t="n">
        <x:v>1</x:v>
      </x:c>
      <x:c r="H21" s="24" t="str">
        <x:v>23</x:v>
      </x:c>
      <x:c r="I21" s="24" t="str">
        <x:v>本轮未深审</x:v>
      </x:c>
      <x:c r="J21" s="24" t="str">
        <x:v>PENDING_AI_DEEP_REVIEW</x:v>
      </x:c>
      <x:c r="K21" s="24" t="str">
        <x:v>原始未动</x:v>
      </x:c>
      <x:c r="L21" s="24" t="str">
        <x:v>PENDING</x:v>
      </x:c>
      <x:c r="M21" s="24" t="str"/>
      <x:c r="N21" s="24" t="str"/>
      <x:c r="O21" s="24" t="str"/>
    </x:row>
    <x:row r="22" ht="34" customHeight="1">
      <x:c r="A22" s="24" t="n">
        <x:v>21</x:v>
      </x:c>
      <x:c r="B22" s="24" t="str">
        <x:v>[T155] V14-P0-141</x:v>
      </x:c>
      <x:c r="C22" s="24" t="str">
        <x:v>579786c0-0dd8-442a-ac41-4a26b9fb4f48</x:v>
      </x:c>
      <x:c r="D22" s="24" t="str">
        <x:v>条件识别</x:v>
      </x:c>
      <x:c r="E22" s="24" t="str">
        <x:v>2.0</x:v>
      </x:c>
      <x:c r="F22" s="24" t="str">
        <x:v>V2 / money-board</x:v>
      </x:c>
      <x:c r="G22" s="24" t="n">
        <x:v>1</x:v>
      </x:c>
      <x:c r="H22" s="24" t="str">
        <x:v>15</x:v>
      </x:c>
      <x:c r="I22" s="24" t="str">
        <x:v>本轮未深审</x:v>
      </x:c>
      <x:c r="J22" s="24" t="str">
        <x:v>PENDING_AI_DEEP_REVIEW</x:v>
      </x:c>
      <x:c r="K22" s="24" t="str">
        <x:v>原始未动</x:v>
      </x:c>
      <x:c r="L22" s="24" t="str">
        <x:v>PENDING</x:v>
      </x:c>
      <x:c r="M22" s="24" t="str"/>
      <x:c r="N22" s="24" t="str"/>
      <x:c r="O22" s="24" t="str"/>
    </x:row>
    <x:row r="23" ht="34" customHeight="1">
      <x:c r="A23" s="24" t="n">
        <x:v>22</x:v>
      </x:c>
      <x:c r="B23" s="24" t="str">
        <x:v>[T155] V14-P0-131</x:v>
      </x:c>
      <x:c r="C23" s="24" t="str">
        <x:v>09f916e8-7d78-44a5-a202-f5025ba352f1</x:v>
      </x:c>
      <x:c r="D23" s="24" t="str">
        <x:v>条件识别</x:v>
      </x:c>
      <x:c r="E23" s="24" t="str">
        <x:v>2.0</x:v>
      </x:c>
      <x:c r="F23" s="24" t="str">
        <x:v>V2 / clock</x:v>
      </x:c>
      <x:c r="G23" s="24" t="n">
        <x:v>1</x:v>
      </x:c>
      <x:c r="H23" s="24" t="str">
        <x:v>660</x:v>
      </x:c>
      <x:c r="I23" s="24" t="str">
        <x:v>本轮未深审</x:v>
      </x:c>
      <x:c r="J23" s="24" t="str">
        <x:v>PENDING_AI_DEEP_REVIEW</x:v>
      </x:c>
      <x:c r="K23" s="24" t="str">
        <x:v>原始未动</x:v>
      </x:c>
      <x:c r="L23" s="24" t="str">
        <x:v>PENDING</x:v>
      </x:c>
      <x:c r="M23" s="24" t="str"/>
      <x:c r="N23" s="24" t="str"/>
      <x:c r="O23" s="24" t="str"/>
    </x:row>
    <x:row r="24" ht="34" customHeight="1">
      <x:c r="A24" s="24" t="n">
        <x:v>23</x:v>
      </x:c>
      <x:c r="B24" s="24" t="str">
        <x:v>[T155] V14-P0-021</x:v>
      </x:c>
      <x:c r="C24" s="24" t="str">
        <x:v>e137a73f-c84f-48ce-89f6-7e6cdd1e36bb</x:v>
      </x:c>
      <x:c r="D24" s="24" t="str">
        <x:v>条件识别</x:v>
      </x:c>
      <x:c r="E24" s="24" t="str">
        <x:v>2.0</x:v>
      </x:c>
      <x:c r="F24" s="24" t="str">
        <x:v>V2 / number-line</x:v>
      </x:c>
      <x:c r="G24" s="24" t="n">
        <x:v>1</x:v>
      </x:c>
      <x:c r="H24" s="24" t="str">
        <x:v>20</x:v>
      </x:c>
      <x:c r="I24" s="24" t="str">
        <x:v>本轮未深审</x:v>
      </x:c>
      <x:c r="J24" s="24" t="str">
        <x:v>PENDING_AI_DEEP_REVIEW</x:v>
      </x:c>
      <x:c r="K24" s="24" t="str">
        <x:v>原始未动</x:v>
      </x:c>
      <x:c r="L24" s="24" t="str">
        <x:v>PENDING</x:v>
      </x:c>
      <x:c r="M24" s="24" t="str"/>
      <x:c r="N24" s="24" t="str"/>
      <x:c r="O24" s="24" t="str"/>
    </x:row>
    <x:row r="25" ht="34" customHeight="1">
      <x:c r="A25" s="24" t="n">
        <x:v>24</x:v>
      </x:c>
      <x:c r="B25" s="24" t="str">
        <x:v>[T155] V14-P0-111</x:v>
      </x:c>
      <x:c r="C25" s="24" t="str">
        <x:v>a9ef554b-f72d-42be-b88f-e260996c0062</x:v>
      </x:c>
      <x:c r="D25" s="24" t="str">
        <x:v>条件识别</x:v>
      </x:c>
      <x:c r="E25" s="24" t="str">
        <x:v>2.0</x:v>
      </x:c>
      <x:c r="F25" s="24" t="str">
        <x:v>V2 / sorting-board</x:v>
      </x:c>
      <x:c r="G25" s="24" t="n">
        <x:v>1</x:v>
      </x:c>
      <x:c r="H25" s="24" t="str">
        <x:v>2379</x:v>
      </x:c>
      <x:c r="I25" s="24" t="str">
        <x:v>本轮未深审</x:v>
      </x:c>
      <x:c r="J25" s="24" t="str">
        <x:v>PENDING_AI_DEEP_REVIEW</x:v>
      </x:c>
      <x:c r="K25" s="24" t="str">
        <x:v>原始未动</x:v>
      </x:c>
      <x:c r="L25" s="24" t="str">
        <x:v>PENDING</x:v>
      </x:c>
      <x:c r="M25" s="24" t="str"/>
      <x:c r="N25" s="24" t="str"/>
      <x:c r="O25" s="24" t="str"/>
    </x:row>
    <x:row r="26" ht="34" customHeight="1">
      <x:c r="A26" s="24" t="n">
        <x:v>25</x:v>
      </x:c>
      <x:c r="B26" s="24" t="str">
        <x:v>[T155] V14-P0-026</x:v>
      </x:c>
      <x:c r="C26" s="24" t="str">
        <x:v>19081b90-e789-4275-a60a-79815a80bc73</x:v>
      </x:c>
      <x:c r="D26" s="24" t="str">
        <x:v>条件识别</x:v>
      </x:c>
      <x:c r="E26" s="24" t="str">
        <x:v>2.0</x:v>
      </x:c>
      <x:c r="F26" s="24" t="str">
        <x:v>V2 / number-input</x:v>
      </x:c>
      <x:c r="G26" s="24" t="n">
        <x:v>1</x:v>
      </x:c>
      <x:c r="H26" s="24" t="str">
        <x:v>6</x:v>
      </x:c>
      <x:c r="I26" s="24" t="str">
        <x:v>本轮未深审</x:v>
      </x:c>
      <x:c r="J26" s="24" t="str">
        <x:v>PENDING_AI_DEEP_REVIEW</x:v>
      </x:c>
      <x:c r="K26" s="24" t="str">
        <x:v>原始未动</x:v>
      </x:c>
      <x:c r="L26" s="24" t="str">
        <x:v>PENDING</x:v>
      </x:c>
      <x:c r="M26" s="24" t="str"/>
      <x:c r="N26" s="24" t="str"/>
      <x:c r="O26" s="24" t="str"/>
    </x:row>
    <x:row r="27" ht="34" customHeight="1">
      <x:c r="A27" s="24" t="n">
        <x:v>26</x:v>
      </x:c>
      <x:c r="B27" s="24" t="str">
        <x:v>[T155] V14-P0-096</x:v>
      </x:c>
      <x:c r="C27" s="24" t="str">
        <x:v>6446cda3-e53b-496d-9f8d-c1f758d2f743</x:v>
      </x:c>
      <x:c r="D27" s="24" t="str">
        <x:v>条件识别</x:v>
      </x:c>
      <x:c r="E27" s="24" t="str">
        <x:v>2.0</x:v>
      </x:c>
      <x:c r="F27" s="24" t="str">
        <x:v>V2 / shape-gallery</x:v>
      </x:c>
      <x:c r="G27" s="24" t="n">
        <x:v>1</x:v>
      </x:c>
      <x:c r="H27" s="24" t="str">
        <x:v>2</x:v>
      </x:c>
      <x:c r="I27" s="24" t="str">
        <x:v>重点逐题预审</x:v>
      </x:c>
      <x:c r="J27" s="24" t="str">
        <x:v>APPROVED_CANDIDATE</x:v>
      </x:c>
      <x:c r="K27" s="24" t="str">
        <x:v>整改新版（旧 55810dda·shape_name_neutralize）</x:v>
      </x:c>
      <x:c r="L27" s="24" t="str">
        <x:v>PENDING</x:v>
      </x:c>
      <x:c r="M27" s="24" t="str"/>
      <x:c r="N27" s="24" t="str"/>
      <x:c r="O27" s="24" t="str"/>
    </x:row>
    <x:row r="28" ht="34" customHeight="1">
      <x:c r="A28" s="24" t="n">
        <x:v>27</x:v>
      </x:c>
      <x:c r="B28" s="24" t="str">
        <x:v>给正方形找一个家</x:v>
      </x:c>
      <x:c r="C28" s="24" t="str">
        <x:v>b0e607c7-add5-4372-9671-78ec108282fd</x:v>
      </x:c>
      <x:c r="D28" s="24" t="str">
        <x:v>条件识别</x:v>
      </x:c>
      <x:c r="E28" s="24" t="str">
        <x:v>2.0</x:v>
      </x:c>
      <x:c r="F28" s="24" t="str">
        <x:v>V2 / shape-gallery</x:v>
      </x:c>
      <x:c r="G28" s="24" t="n">
        <x:v>1</x:v>
      </x:c>
      <x:c r="H28" s="24" t="str">
        <x:v>3</x:v>
      </x:c>
      <x:c r="I28" s="24" t="str">
        <x:v>重点逐题预审</x:v>
      </x:c>
      <x:c r="J28" s="24" t="str">
        <x:v>REVISION_REQUIRED</x:v>
      </x:c>
      <x:c r="K28" s="24" t="str">
        <x:v>整改新版（旧 95d79265·shape_name_neutralize）</x:v>
      </x:c>
      <x:c r="L28" s="24" t="str">
        <x:v>PENDING</x:v>
      </x:c>
      <x:c r="M28" s="24" t="str"/>
      <x:c r="N28" s="24" t="str"/>
      <x:c r="O28" s="24" t="str"/>
    </x:row>
    <x:row r="29" ht="34" customHeight="1">
      <x:c r="A29" s="24" t="n">
        <x:v>28</x:v>
      </x:c>
      <x:c r="B29" s="24" t="str">
        <x:v>条件中有无关信息</x:v>
      </x:c>
      <x:c r="C29" s="24" t="str">
        <x:v>623b7f19-47ba-467f-bad7-2b87bc4a5401</x:v>
      </x:c>
      <x:c r="D29" s="24" t="str">
        <x:v>条件识别</x:v>
      </x:c>
      <x:c r="E29" s="24" t="str">
        <x:v>1.0</x:v>
      </x:c>
      <x:c r="F29" s="24" t="str">
        <x:v>V1 / number</x:v>
      </x:c>
      <x:c r="G29" s="24" t="n">
        <x:v>2</x:v>
      </x:c>
      <x:c r="H29" s="24" t="str">
        <x:v>6</x:v>
      </x:c>
      <x:c r="I29" s="24" t="str">
        <x:v>本轮未深审</x:v>
      </x:c>
      <x:c r="J29" s="24" t="str">
        <x:v>PENDING_AI_DEEP_REVIEW</x:v>
      </x:c>
      <x:c r="K29" s="24" t="str">
        <x:v>原始未动</x:v>
      </x:c>
      <x:c r="L29" s="24" t="str">
        <x:v>PENDING</x:v>
      </x:c>
      <x:c r="M29" s="24" t="str"/>
      <x:c r="N29" s="24" t="str"/>
      <x:c r="O29" s="24" t="str"/>
    </x:row>
    <x:row r="30" ht="34" customHeight="1">
      <x:c r="A30" s="24" t="n">
        <x:v>29</x:v>
      </x:c>
      <x:c r="B30" s="24" t="str">
        <x:v>换进来的不是同一种</x:v>
      </x:c>
      <x:c r="C30" s="24" t="str">
        <x:v>6857ba8d-9130-4da3-97ad-267e06e87e97</x:v>
      </x:c>
      <x:c r="D30" s="24" t="str">
        <x:v>条件识别</x:v>
      </x:c>
      <x:c r="E30" s="24" t="str">
        <x:v>1.0</x:v>
      </x:c>
      <x:c r="F30" s="24" t="str">
        <x:v>V1 / number</x:v>
      </x:c>
      <x:c r="G30" s="24" t="n">
        <x:v>2</x:v>
      </x:c>
      <x:c r="H30" s="24" t="str">
        <x:v>8</x:v>
      </x:c>
      <x:c r="I30" s="24" t="str">
        <x:v>本轮未深审</x:v>
      </x:c>
      <x:c r="J30" s="24" t="str">
        <x:v>PENDING_AI_DEEP_REVIEW</x:v>
      </x:c>
      <x:c r="K30" s="24" t="str">
        <x:v>原始未动</x:v>
      </x:c>
      <x:c r="L30" s="24" t="str">
        <x:v>PENDING</x:v>
      </x:c>
      <x:c r="M30" s="24" t="str"/>
      <x:c r="N30" s="24" t="str"/>
      <x:c r="O30" s="24" t="str"/>
    </x:row>
    <x:row r="31" ht="34" customHeight="1">
      <x:c r="A31" s="24" t="n">
        <x:v>30</x:v>
      </x:c>
      <x:c r="B31" s="24" t="str">
        <x:v>把钟拨到 6 点</x:v>
      </x:c>
      <x:c r="C31" s="24" t="str">
        <x:v>814b32f1-a3ac-4d7c-9ae2-6c39fbd6c84f</x:v>
      </x:c>
      <x:c r="D31" s="24" t="str">
        <x:v>条件识别</x:v>
      </x:c>
      <x:c r="E31" s="24" t="str">
        <x:v>2.0</x:v>
      </x:c>
      <x:c r="F31" s="24" t="str">
        <x:v>V2 / clock</x:v>
      </x:c>
      <x:c r="G31" s="24" t="n">
        <x:v>2</x:v>
      </x:c>
      <x:c r="H31" s="24" t="str">
        <x:v>360</x:v>
      </x:c>
      <x:c r="I31" s="24" t="str">
        <x:v>重点逐题预审</x:v>
      </x:c>
      <x:c r="J31" s="24" t="str">
        <x:v>REVISION_REQUIRED</x:v>
      </x:c>
      <x:c r="K31" s="24" t="str">
        <x:v>原始未动</x:v>
      </x:c>
      <x:c r="L31" s="24" t="str">
        <x:v>PENDING</x:v>
      </x:c>
      <x:c r="M31" s="24" t="str"/>
      <x:c r="N31" s="24" t="str"/>
      <x:c r="O31" s="24" t="str"/>
    </x:row>
    <x:row r="32" ht="34" customHeight="1">
      <x:c r="A32" s="24" t="n">
        <x:v>31</x:v>
      </x:c>
      <x:c r="B32" s="24" t="str">
        <x:v>[T155] V14-P0-017</x:v>
      </x:c>
      <x:c r="C32" s="24" t="str">
        <x:v>0865553f-71a4-4c78-9841-f5271834c3e5</x:v>
      </x:c>
      <x:c r="D32" s="24" t="str">
        <x:v>条件识别</x:v>
      </x:c>
      <x:c r="E32" s="24" t="str">
        <x:v>2.0</x:v>
      </x:c>
      <x:c r="F32" s="24" t="str">
        <x:v>V2 / number-line</x:v>
      </x:c>
      <x:c r="G32" s="24" t="n">
        <x:v>2</x:v>
      </x:c>
      <x:c r="H32" s="24" t="str">
        <x:v>11</x:v>
      </x:c>
      <x:c r="I32" s="24" t="str">
        <x:v>本轮未深审</x:v>
      </x:c>
      <x:c r="J32" s="24" t="str">
        <x:v>PENDING_AI_DEEP_REVIEW</x:v>
      </x:c>
      <x:c r="K32" s="24" t="str">
        <x:v>原始未动</x:v>
      </x:c>
      <x:c r="L32" s="24" t="str">
        <x:v>PENDING</x:v>
      </x:c>
      <x:c r="M32" s="24" t="str"/>
      <x:c r="N32" s="24" t="str"/>
      <x:c r="O32" s="24" t="str"/>
    </x:row>
    <x:row r="33" ht="34" customHeight="1">
      <x:c r="A33" s="24" t="n">
        <x:v>32</x:v>
      </x:c>
      <x:c r="B33" s="24" t="str">
        <x:v>[T155] V14-P0-007</x:v>
      </x:c>
      <x:c r="C33" s="24" t="str">
        <x:v>079d72bd-1458-4f0f-9285-3f7cf4733dd1</x:v>
      </x:c>
      <x:c r="D33" s="24" t="str">
        <x:v>条件识别</x:v>
      </x:c>
      <x:c r="E33" s="24" t="str">
        <x:v>2.0</x:v>
      </x:c>
      <x:c r="F33" s="24" t="str">
        <x:v>V2 / object-counter</x:v>
      </x:c>
      <x:c r="G33" s="24" t="n">
        <x:v>2</x:v>
      </x:c>
      <x:c r="H33" s="24" t="str">
        <x:v>7</x:v>
      </x:c>
      <x:c r="I33" s="24" t="str">
        <x:v>本轮未深审</x:v>
      </x:c>
      <x:c r="J33" s="24" t="str">
        <x:v>PENDING_AI_DEEP_REVIEW</x:v>
      </x:c>
      <x:c r="K33" s="24" t="str">
        <x:v>原始未动</x:v>
      </x:c>
      <x:c r="L33" s="24" t="str">
        <x:v>PENDING</x:v>
      </x:c>
      <x:c r="M33" s="24" t="str"/>
      <x:c r="N33" s="24" t="str"/>
      <x:c r="O33" s="24" t="str"/>
    </x:row>
    <x:row r="34" ht="34" customHeight="1">
      <x:c r="A34" s="24" t="n">
        <x:v>33</x:v>
      </x:c>
      <x:c r="B34" s="24" t="str">
        <x:v>[T155] V14-P0-107</x:v>
      </x:c>
      <x:c r="C34" s="24" t="str">
        <x:v>fd10b69d-2b51-46b2-bc88-2de1bbda5b03</x:v>
      </x:c>
      <x:c r="D34" s="24" t="str">
        <x:v>条件识别</x:v>
      </x:c>
      <x:c r="E34" s="24" t="str">
        <x:v>2.0</x:v>
      </x:c>
      <x:c r="F34" s="24" t="str">
        <x:v>V2 / sorting-board</x:v>
      </x:c>
      <x:c r="G34" s="24" t="n">
        <x:v>2</x:v>
      </x:c>
      <x:c r="H34" s="24" t="str">
        <x:v>2457</x:v>
      </x:c>
      <x:c r="I34" s="24" t="str">
        <x:v>本轮未深审</x:v>
      </x:c>
      <x:c r="J34" s="24" t="str">
        <x:v>PENDING_AI_DEEP_REVIEW</x:v>
      </x:c>
      <x:c r="K34" s="24" t="str">
        <x:v>原始未动</x:v>
      </x:c>
      <x:c r="L34" s="24" t="str">
        <x:v>PENDING</x:v>
      </x:c>
      <x:c r="M34" s="24" t="str"/>
      <x:c r="N34" s="24" t="str"/>
      <x:c r="O34" s="24" t="str"/>
    </x:row>
    <x:row r="35" ht="34" customHeight="1">
      <x:c r="A35" s="24" t="n">
        <x:v>34</x:v>
      </x:c>
      <x:c r="B35" s="24" t="str">
        <x:v>[T155] V14-P0-027</x:v>
      </x:c>
      <x:c r="C35" s="24" t="str">
        <x:v>ffa54e00-0701-470e-9624-3d62a80a8832</x:v>
      </x:c>
      <x:c r="D35" s="24" t="str">
        <x:v>条件识别</x:v>
      </x:c>
      <x:c r="E35" s="24" t="str">
        <x:v>2.0</x:v>
      </x:c>
      <x:c r="F35" s="24" t="str">
        <x:v>V2 / number-input</x:v>
      </x:c>
      <x:c r="G35" s="24" t="n">
        <x:v>2</x:v>
      </x:c>
      <x:c r="H35" s="24" t="str">
        <x:v>4</x:v>
      </x:c>
      <x:c r="I35" s="24" t="str">
        <x:v>本轮未深审</x:v>
      </x:c>
      <x:c r="J35" s="24" t="str">
        <x:v>PENDING_AI_DEEP_REVIEW</x:v>
      </x:c>
      <x:c r="K35" s="24" t="str">
        <x:v>原始未动</x:v>
      </x:c>
      <x:c r="L35" s="24" t="str">
        <x:v>PENDING</x:v>
      </x:c>
      <x:c r="M35" s="24" t="str"/>
      <x:c r="N35" s="24" t="str"/>
      <x:c r="O35" s="24" t="str"/>
    </x:row>
    <x:row r="36" ht="34" customHeight="1">
      <x:c r="A36" s="24" t="n">
        <x:v>35</x:v>
      </x:c>
      <x:c r="B36" s="24" t="str">
        <x:v>[T155] V14-P0-112</x:v>
      </x:c>
      <x:c r="C36" s="24" t="str">
        <x:v>ea2b6074-9c9a-4343-af45-21cf5a24353a</x:v>
      </x:c>
      <x:c r="D36" s="24" t="str">
        <x:v>条件识别</x:v>
      </x:c>
      <x:c r="E36" s="24" t="str">
        <x:v>2.0</x:v>
      </x:c>
      <x:c r="F36" s="24" t="str">
        <x:v>V2 / sorting-board</x:v>
      </x:c>
      <x:c r="G36" s="24" t="n">
        <x:v>2</x:v>
      </x:c>
      <x:c r="H36" s="24" t="str">
        <x:v>1568</x:v>
      </x:c>
      <x:c r="I36" s="24" t="str">
        <x:v>本轮未深审</x:v>
      </x:c>
      <x:c r="J36" s="24" t="str">
        <x:v>PENDING_AI_DEEP_REVIEW</x:v>
      </x:c>
      <x:c r="K36" s="24" t="str">
        <x:v>原始未动</x:v>
      </x:c>
      <x:c r="L36" s="24" t="str">
        <x:v>PENDING</x:v>
      </x:c>
      <x:c r="M36" s="24" t="str"/>
      <x:c r="N36" s="24" t="str"/>
      <x:c r="O36" s="24" t="str"/>
    </x:row>
    <x:row r="37" ht="34" customHeight="1">
      <x:c r="A37" s="24" t="n">
        <x:v>36</x:v>
      </x:c>
      <x:c r="B37" s="24" t="str">
        <x:v>[T155] V14-P0-152</x:v>
      </x:c>
      <x:c r="C37" s="24" t="str">
        <x:v>ec982464-72c9-40e1-9db0-20435c60b798</x:v>
      </x:c>
      <x:c r="D37" s="24" t="str">
        <x:v>条件识别</x:v>
      </x:c>
      <x:c r="E37" s="24" t="str">
        <x:v>2.0</x:v>
      </x:c>
      <x:c r="F37" s="24" t="str">
        <x:v>V2 / pattern-board</x:v>
      </x:c>
      <x:c r="G37" s="24" t="n">
        <x:v>2</x:v>
      </x:c>
      <x:c r="H37" s="24" t="str">
        <x:v>41</x:v>
      </x:c>
      <x:c r="I37" s="24" t="str">
        <x:v>本轮未深审</x:v>
      </x:c>
      <x:c r="J37" s="24" t="str">
        <x:v>PENDING_AI_DEEP_REVIEW</x:v>
      </x:c>
      <x:c r="K37" s="24" t="str">
        <x:v>原始未动</x:v>
      </x:c>
      <x:c r="L37" s="24" t="str">
        <x:v>PENDING</x:v>
      </x:c>
      <x:c r="M37" s="24" t="str"/>
      <x:c r="N37" s="24" t="str"/>
      <x:c r="O37" s="24" t="str"/>
    </x:row>
    <x:row r="38" ht="34" customHeight="1">
      <x:c r="A38" s="24" t="n">
        <x:v>37</x:v>
      </x:c>
      <x:c r="B38" s="24" t="str">
        <x:v>[T155] V14-P0-137</x:v>
      </x:c>
      <x:c r="C38" s="24" t="str">
        <x:v>24e3c3f4-51bd-4411-a3c3-f4e7f5538d43</x:v>
      </x:c>
      <x:c r="D38" s="24" t="str">
        <x:v>条件识别</x:v>
      </x:c>
      <x:c r="E38" s="24" t="str">
        <x:v>2.0</x:v>
      </x:c>
      <x:c r="F38" s="24" t="str">
        <x:v>V2 / money-board</x:v>
      </x:c>
      <x:c r="G38" s="24" t="n">
        <x:v>2</x:v>
      </x:c>
      <x:c r="H38" s="24" t="str">
        <x:v>25</x:v>
      </x:c>
      <x:c r="I38" s="24" t="str">
        <x:v>本轮未深审</x:v>
      </x:c>
      <x:c r="J38" s="24" t="str">
        <x:v>PENDING_AI_DEEP_REVIEW</x:v>
      </x:c>
      <x:c r="K38" s="24" t="str">
        <x:v>原始未动</x:v>
      </x:c>
      <x:c r="L38" s="24" t="str">
        <x:v>PENDING</x:v>
      </x:c>
      <x:c r="M38" s="24" t="str"/>
      <x:c r="N38" s="24" t="str"/>
      <x:c r="O38" s="24" t="str"/>
    </x:row>
    <x:row r="39" ht="34" customHeight="1">
      <x:c r="A39" s="24" t="n">
        <x:v>38</x:v>
      </x:c>
      <x:c r="B39" s="24" t="str">
        <x:v>[T155] V14-P0-092</x:v>
      </x:c>
      <x:c r="C39" s="24" t="str">
        <x:v>905207e0-0ef5-4d1c-bb6a-2aa71f6adfe3</x:v>
      </x:c>
      <x:c r="D39" s="24" t="str">
        <x:v>条件识别</x:v>
      </x:c>
      <x:c r="E39" s="24" t="str">
        <x:v>2.0</x:v>
      </x:c>
      <x:c r="F39" s="24" t="str">
        <x:v>V2 / shape-gallery</x:v>
      </x:c>
      <x:c r="G39" s="24" t="n">
        <x:v>2</x:v>
      </x:c>
      <x:c r="H39" s="24" t="str">
        <x:v>1</x:v>
      </x:c>
      <x:c r="I39" s="24" t="str">
        <x:v>重点逐题预审</x:v>
      </x:c>
      <x:c r="J39" s="24" t="str">
        <x:v>APPROVED_CANDIDATE</x:v>
      </x:c>
      <x:c r="K39" s="24" t="str">
        <x:v>整改新版（旧 68f68512·shape_name_neutralize）</x:v>
      </x:c>
      <x:c r="L39" s="24" t="str">
        <x:v>PENDING</x:v>
      </x:c>
      <x:c r="M39" s="24" t="str"/>
      <x:c r="N39" s="24" t="str"/>
      <x:c r="O39" s="24" t="str"/>
    </x:row>
    <x:row r="40" ht="34" customHeight="1">
      <x:c r="A40" s="24" t="n">
        <x:v>39</x:v>
      </x:c>
      <x:c r="B40" s="24" t="str">
        <x:v>从多条件里选两步需要的</x:v>
      </x:c>
      <x:c r="C40" s="24" t="str">
        <x:v>76ce803c-cdf8-46c1-85f7-d5207bdca060</x:v>
      </x:c>
      <x:c r="D40" s="24" t="str">
        <x:v>条件识别</x:v>
      </x:c>
      <x:c r="E40" s="24" t="str">
        <x:v>1.0</x:v>
      </x:c>
      <x:c r="F40" s="24" t="str">
        <x:v>V1 / number</x:v>
      </x:c>
      <x:c r="G40" s="24" t="n">
        <x:v>3</x:v>
      </x:c>
      <x:c r="H40" s="24" t="str">
        <x:v>12</x:v>
      </x:c>
      <x:c r="I40" s="24" t="str">
        <x:v>本轮未深审</x:v>
      </x:c>
      <x:c r="J40" s="24" t="str">
        <x:v>PENDING_AI_DEEP_REVIEW</x:v>
      </x:c>
      <x:c r="K40" s="24" t="str">
        <x:v>原始未动</x:v>
      </x:c>
      <x:c r="L40" s="24" t="str">
        <x:v>PENDING</x:v>
      </x:c>
      <x:c r="M40" s="24" t="str"/>
      <x:c r="N40" s="24" t="str"/>
      <x:c r="O40" s="24" t="str"/>
    </x:row>
    <x:row r="41" ht="34" customHeight="1">
      <x:c r="A41" s="24" t="n">
        <x:v>40</x:v>
      </x:c>
      <x:c r="B41" s="24" t="str">
        <x:v>[T155] V14-P0-148</x:v>
      </x:c>
      <x:c r="C41" s="24" t="str">
        <x:v>831832e5-a14c-4902-8249-60eaa0b451a9</x:v>
      </x:c>
      <x:c r="D41" s="24" t="str">
        <x:v>条件识别</x:v>
      </x:c>
      <x:c r="E41" s="24" t="str">
        <x:v>2.0</x:v>
      </x:c>
      <x:c r="F41" s="24" t="str">
        <x:v>V2 / pattern-board</x:v>
      </x:c>
      <x:c r="G41" s="24" t="n">
        <x:v>3</x:v>
      </x:c>
      <x:c r="H41" s="24" t="str">
        <x:v>42</x:v>
      </x:c>
      <x:c r="I41" s="24" t="str">
        <x:v>本轮未深审</x:v>
      </x:c>
      <x:c r="J41" s="24" t="str">
        <x:v>PENDING_AI_DEEP_REVIEW</x:v>
      </x:c>
      <x:c r="K41" s="24" t="str">
        <x:v>原始未动</x:v>
      </x:c>
      <x:c r="L41" s="24" t="str">
        <x:v>PENDING</x:v>
      </x:c>
      <x:c r="M41" s="24" t="str"/>
      <x:c r="N41" s="24" t="str"/>
      <x:c r="O41" s="24" t="str"/>
    </x:row>
    <x:row r="42" ht="34" customHeight="1">
      <x:c r="A42" s="24" t="n">
        <x:v>41</x:v>
      </x:c>
      <x:c r="B42" s="24" t="str">
        <x:v>[T155] V14-P0-118</x:v>
      </x:c>
      <x:c r="C42" s="24" t="str">
        <x:v>77a90e79-6a51-4960-b475-978399c178ce</x:v>
      </x:c>
      <x:c r="D42" s="24" t="str">
        <x:v>条件识别</x:v>
      </x:c>
      <x:c r="E42" s="24" t="str">
        <x:v>2.0</x:v>
      </x:c>
      <x:c r="F42" s="24" t="str">
        <x:v>V2 / direction-grid</x:v>
      </x:c>
      <x:c r="G42" s="24" t="n">
        <x:v>3</x:v>
      </x:c>
      <x:c r="H42" s="24" t="str">
        <x:v>5</x:v>
      </x:c>
      <x:c r="I42" s="24" t="str">
        <x:v>本轮未深审</x:v>
      </x:c>
      <x:c r="J42" s="24" t="str">
        <x:v>PENDING_AI_DEEP_REVIEW</x:v>
      </x:c>
      <x:c r="K42" s="24" t="str">
        <x:v>原始未动</x:v>
      </x:c>
      <x:c r="L42" s="24" t="str">
        <x:v>PENDING</x:v>
      </x:c>
      <x:c r="M42" s="24" t="str"/>
      <x:c r="N42" s="24" t="str"/>
      <x:c r="O42" s="24" t="str"/>
    </x:row>
    <x:row r="43" ht="34" customHeight="1">
      <x:c r="A43" s="24" t="n">
        <x:v>42</x:v>
      </x:c>
      <x:c r="B43" s="24" t="str">
        <x:v>[T155] V14-P0-108</x:v>
      </x:c>
      <x:c r="C43" s="24" t="str">
        <x:v>c5ccdb84-9ae7-489d-bc55-12f0ba296328</x:v>
      </x:c>
      <x:c r="D43" s="24" t="str">
        <x:v>条件识别</x:v>
      </x:c>
      <x:c r="E43" s="24" t="str">
        <x:v>2.0</x:v>
      </x:c>
      <x:c r="F43" s="24" t="str">
        <x:v>V2 / sorting-board</x:v>
      </x:c>
      <x:c r="G43" s="24" t="n">
        <x:v>3</x:v>
      </x:c>
      <x:c r="H43" s="24" t="str">
        <x:v>1368</x:v>
      </x:c>
      <x:c r="I43" s="24" t="str">
        <x:v>本轮未深审</x:v>
      </x:c>
      <x:c r="J43" s="24" t="str">
        <x:v>PENDING_AI_DEEP_REVIEW</x:v>
      </x:c>
      <x:c r="K43" s="24" t="str">
        <x:v>原始未动</x:v>
      </x:c>
      <x:c r="L43" s="24" t="str">
        <x:v>PENDING</x:v>
      </x:c>
      <x:c r="M43" s="24" t="str"/>
      <x:c r="N43" s="24" t="str"/>
      <x:c r="O43" s="24" t="str"/>
    </x:row>
    <x:row r="44" ht="34" customHeight="1">
      <x:c r="A44" s="24" t="n">
        <x:v>43</x:v>
      </x:c>
      <x:c r="B44" s="24" t="str">
        <x:v>[T155] V14-P0-133</x:v>
      </x:c>
      <x:c r="C44" s="24" t="str">
        <x:v>17599601-dac5-4fe1-b391-69b4e519136f</x:v>
      </x:c>
      <x:c r="D44" s="24" t="str">
        <x:v>条件识别</x:v>
      </x:c>
      <x:c r="E44" s="24" t="str">
        <x:v>2.0</x:v>
      </x:c>
      <x:c r="F44" s="24" t="str">
        <x:v>V2 / clock</x:v>
      </x:c>
      <x:c r="G44" s="24" t="n">
        <x:v>3</x:v>
      </x:c>
      <x:c r="H44" s="24" t="str">
        <x:v>270</x:v>
      </x:c>
      <x:c r="I44" s="24" t="str">
        <x:v>本轮未深审</x:v>
      </x:c>
      <x:c r="J44" s="24" t="str">
        <x:v>PENDING_AI_DEEP_REVIEW</x:v>
      </x:c>
      <x:c r="K44" s="24" t="str">
        <x:v>原始未动</x:v>
      </x:c>
      <x:c r="L44" s="24" t="str">
        <x:v>PENDING</x:v>
      </x:c>
      <x:c r="M44" s="24" t="str"/>
      <x:c r="N44" s="24" t="str"/>
      <x:c r="O44" s="24" t="str"/>
    </x:row>
    <x:row r="45" ht="34" customHeight="1">
      <x:c r="A45" s="24" t="n">
        <x:v>44</x:v>
      </x:c>
      <x:c r="B45" s="24" t="str">
        <x:v>[T155] V14-P0-038</x:v>
      </x:c>
      <x:c r="C45" s="24" t="str">
        <x:v>291106d7-45a5-4e79-8263-1b2e2e84dd11</x:v>
      </x:c>
      <x:c r="D45" s="24" t="str">
        <x:v>条件识别</x:v>
      </x:c>
      <x:c r="E45" s="24" t="str">
        <x:v>2.0</x:v>
      </x:c>
      <x:c r="F45" s="24" t="str">
        <x:v>V2 / place-value</x:v>
      </x:c>
      <x:c r="G45" s="24" t="n">
        <x:v>3</x:v>
      </x:c>
      <x:c r="H45" s="24" t="str">
        <x:v>140</x:v>
      </x:c>
      <x:c r="I45" s="24" t="str">
        <x:v>本轮未深审</x:v>
      </x:c>
      <x:c r="J45" s="24" t="str">
        <x:v>PENDING_AI_DEEP_REVIEW</x:v>
      </x:c>
      <x:c r="K45" s="24" t="str">
        <x:v>原始未动</x:v>
      </x:c>
      <x:c r="L45" s="24" t="str">
        <x:v>PENDING</x:v>
      </x:c>
      <x:c r="M45" s="24" t="str"/>
      <x:c r="N45" s="24" t="str"/>
      <x:c r="O45" s="24" t="str"/>
    </x:row>
    <x:row r="46" ht="34" customHeight="1">
      <x:c r="A46" s="24" t="n">
        <x:v>45</x:v>
      </x:c>
      <x:c r="B46" s="24" t="str">
        <x:v>[T155] V14-P0-103</x:v>
      </x:c>
      <x:c r="C46" s="24" t="str">
        <x:v>12f89452-ad38-4c24-af5d-d734f5b4c43b</x:v>
      </x:c>
      <x:c r="D46" s="24" t="str">
        <x:v>条件识别</x:v>
      </x:c>
      <x:c r="E46" s="24" t="str">
        <x:v>2.0</x:v>
      </x:c>
      <x:c r="F46" s="24" t="str">
        <x:v>V2 / shape-canvas</x:v>
      </x:c>
      <x:c r="G46" s="24" t="n">
        <x:v>3</x:v>
      </x:c>
      <x:c r="H46" s="24" t="str">
        <x:v>9</x:v>
      </x:c>
      <x:c r="I46" s="24" t="str">
        <x:v>重点逐题预审</x:v>
      </x:c>
      <x:c r="J46" s="24" t="str">
        <x:v>REVISION_REQUIRED</x:v>
      </x:c>
      <x:c r="K46" s="24" t="str">
        <x:v>原始未动</x:v>
      </x:c>
      <x:c r="L46" s="24" t="str">
        <x:v>PENDING</x:v>
      </x:c>
      <x:c r="M46" s="24" t="str"/>
      <x:c r="N46" s="24" t="str"/>
      <x:c r="O46" s="24" t="str"/>
    </x:row>
    <x:row r="47" ht="34" customHeight="1">
      <x:c r="A47" s="24" t="n">
        <x:v>46</x:v>
      </x:c>
      <x:c r="B47" s="24" t="str">
        <x:v>[T155] V14-P0-048</x:v>
      </x:c>
      <x:c r="C47" s="24" t="str">
        <x:v>f9fae106-45db-499f-9b85-f0d93d17c64b</x:v>
      </x:c>
      <x:c r="D47" s="24" t="str">
        <x:v>条件识别</x:v>
      </x:c>
      <x:c r="E47" s="24" t="str">
        <x:v>2.0</x:v>
      </x:c>
      <x:c r="F47" s="24" t="str">
        <x:v>V2 / ten-frame</x:v>
      </x:c>
      <x:c r="G47" s="24" t="n">
        <x:v>3</x:v>
      </x:c>
      <x:c r="H47" s="24" t="str">
        <x:v>13</x:v>
      </x:c>
      <x:c r="I47" s="24" t="str">
        <x:v>本轮未深审</x:v>
      </x:c>
      <x:c r="J47" s="24" t="str">
        <x:v>PENDING_AI_DEEP_REVIEW</x:v>
      </x:c>
      <x:c r="K47" s="24" t="str">
        <x:v>原始未动</x:v>
      </x:c>
      <x:c r="L47" s="24" t="str">
        <x:v>PENDING</x:v>
      </x:c>
      <x:c r="M47" s="24" t="str"/>
      <x:c r="N47" s="24" t="str"/>
      <x:c r="O47" s="24" t="str"/>
    </x:row>
    <x:row r="48" ht="34" customHeight="1">
      <x:c r="A48" s="24" t="n">
        <x:v>47</x:v>
      </x:c>
      <x:c r="B48" s="24" t="str">
        <x:v>[T155] V14-P0-003</x:v>
      </x:c>
      <x:c r="C48" s="24" t="str">
        <x:v>dc39a733-be85-4e16-aee5-46bdc92eeda5</x:v>
      </x:c>
      <x:c r="D48" s="24" t="str">
        <x:v>条件识别</x:v>
      </x:c>
      <x:c r="E48" s="24" t="str">
        <x:v>2.0</x:v>
      </x:c>
      <x:c r="F48" s="24" t="str">
        <x:v>V2 / object-counter</x:v>
      </x:c>
      <x:c r="G48" s="24" t="n">
        <x:v>3</x:v>
      </x:c>
      <x:c r="H48" s="24" t="str">
        <x:v>6</x:v>
      </x:c>
      <x:c r="I48" s="24" t="str">
        <x:v>本轮未深审</x:v>
      </x:c>
      <x:c r="J48" s="24" t="str">
        <x:v>PENDING_AI_DEEP_REVIEW</x:v>
      </x:c>
      <x:c r="K48" s="24" t="str">
        <x:v>原始未动</x:v>
      </x:c>
      <x:c r="L48" s="24" t="str">
        <x:v>PENDING</x:v>
      </x:c>
      <x:c r="M48" s="24" t="str"/>
      <x:c r="N48" s="24" t="str"/>
      <x:c r="O48" s="24" t="str"/>
    </x:row>
    <x:row r="49" ht="34" customHeight="1">
      <x:c r="A49" s="24" t="n">
        <x:v>48</x:v>
      </x:c>
      <x:c r="B49" s="24" t="str">
        <x:v>[T155] V14-P0-099</x:v>
      </x:c>
      <x:c r="C49" s="24" t="str">
        <x:v>e946491c-ced3-4160-aa25-a2ccb0a10a7c</x:v>
      </x:c>
      <x:c r="D49" s="24" t="str">
        <x:v>条件识别</x:v>
      </x:c>
      <x:c r="E49" s="24" t="str">
        <x:v>2.0</x:v>
      </x:c>
      <x:c r="F49" s="24" t="str">
        <x:v>V2 / shape-canvas</x:v>
      </x:c>
      <x:c r="G49" s="24" t="n">
        <x:v>4</x:v>
      </x:c>
      <x:c r="H49" s="24" t="str">
        <x:v>12</x:v>
      </x:c>
      <x:c r="I49" s="24" t="str">
        <x:v>本轮未深审</x:v>
      </x:c>
      <x:c r="J49" s="24" t="str">
        <x:v>PENDING_AI_DEEP_REVIEW</x:v>
      </x:c>
      <x:c r="K49" s="24" t="str">
        <x:v>原始未动</x:v>
      </x:c>
      <x:c r="L49" s="24" t="str">
        <x:v>PENDING</x:v>
      </x:c>
      <x:c r="M49" s="24" t="str"/>
      <x:c r="N49" s="24" t="str"/>
      <x:c r="O49" s="24" t="str"/>
    </x:row>
    <x:row r="50" ht="34" customHeight="1">
      <x:c r="A50" s="24" t="n">
        <x:v>49</x:v>
      </x:c>
      <x:c r="B50" s="24" t="str">
        <x:v>[T155] V14-P0-114</x:v>
      </x:c>
      <x:c r="C50" s="24" t="str">
        <x:v>302d9de3-c27a-49a4-bae6-007557957b1d</x:v>
      </x:c>
      <x:c r="D50" s="24" t="str">
        <x:v>条件识别</x:v>
      </x:c>
      <x:c r="E50" s="24" t="str">
        <x:v>2.0</x:v>
      </x:c>
      <x:c r="F50" s="24" t="str">
        <x:v>V2 / direction-grid</x:v>
      </x:c>
      <x:c r="G50" s="24" t="n">
        <x:v>4</x:v>
      </x:c>
      <x:c r="H50" s="24" t="str">
        <x:v>4</x:v>
      </x:c>
      <x:c r="I50" s="24" t="str">
        <x:v>本轮未深审</x:v>
      </x:c>
      <x:c r="J50" s="24" t="str">
        <x:v>PENDING_AI_DEEP_REVIEW</x:v>
      </x:c>
      <x:c r="K50" s="24" t="str">
        <x:v>原始未动</x:v>
      </x:c>
      <x:c r="L50" s="24" t="str">
        <x:v>PENDING</x:v>
      </x:c>
      <x:c r="M50" s="24" t="str"/>
      <x:c r="N50" s="24" t="str"/>
      <x:c r="O50" s="24" t="str"/>
    </x:row>
    <x:row r="51" ht="34" customHeight="1">
      <x:c r="A51" s="24" t="n">
        <x:v>50</x:v>
      </x:c>
      <x:c r="B51" s="24" t="str">
        <x:v>[T155] V14-P0-034</x:v>
      </x:c>
      <x:c r="C51" s="24" t="str">
        <x:v>f281ec32-4680-4c0e-b875-5ee76e23205f</x:v>
      </x:c>
      <x:c r="D51" s="24" t="str">
        <x:v>条件识别</x:v>
      </x:c>
      <x:c r="E51" s="24" t="str">
        <x:v>2.0</x:v>
      </x:c>
      <x:c r="F51" s="24" t="str">
        <x:v>V2 / place-value</x:v>
      </x:c>
      <x:c r="G51" s="24" t="n">
        <x:v>4</x:v>
      </x:c>
      <x:c r="H51" s="24" t="str">
        <x:v>63</x:v>
      </x:c>
      <x:c r="I51" s="24" t="str">
        <x:v>本轮未深审</x:v>
      </x:c>
      <x:c r="J51" s="24" t="str">
        <x:v>PENDING_AI_DEEP_REVIEW</x:v>
      </x:c>
      <x:c r="K51" s="24" t="str">
        <x:v>原始未动</x:v>
      </x:c>
      <x:c r="L51" s="24" t="str">
        <x:v>PENDING</x:v>
      </x:c>
      <x:c r="M51" s="24" t="str"/>
      <x:c r="N51" s="24" t="str"/>
      <x:c r="O51" s="24" t="str"/>
    </x:row>
    <x:row r="52" ht="34" customHeight="1">
      <x:c r="A52" s="24" t="n">
        <x:v>51</x:v>
      </x:c>
      <x:c r="B52" s="24" t="str">
        <x:v>[T155] V14-P0-129</x:v>
      </x:c>
      <x:c r="C52" s="24" t="str">
        <x:v>7e358c4f-90fc-4192-aa45-237164eb0e18</x:v>
      </x:c>
      <x:c r="D52" s="24" t="str">
        <x:v>条件识别</x:v>
      </x:c>
      <x:c r="E52" s="24" t="str">
        <x:v>2.0</x:v>
      </x:c>
      <x:c r="F52" s="24" t="str">
        <x:v>V2 / clock</x:v>
      </x:c>
      <x:c r="G52" s="24" t="n">
        <x:v>4</x:v>
      </x:c>
      <x:c r="H52" s="24" t="str">
        <x:v>210</x:v>
      </x:c>
      <x:c r="I52" s="24" t="str">
        <x:v>本轮未深审</x:v>
      </x:c>
      <x:c r="J52" s="24" t="str">
        <x:v>PENDING_AI_DEEP_REVIEW</x:v>
      </x:c>
      <x:c r="K52" s="24" t="str">
        <x:v>原始未动</x:v>
      </x:c>
      <x:c r="L52" s="24" t="str">
        <x:v>PENDING</x:v>
      </x:c>
      <x:c r="M52" s="24" t="str"/>
      <x:c r="N52" s="24" t="str"/>
      <x:c r="O52" s="24" t="str"/>
    </x:row>
    <x:row r="53" ht="34" customHeight="1">
      <x:c r="A53" s="24" t="n">
        <x:v>52</x:v>
      </x:c>
      <x:c r="B53" s="24" t="str">
        <x:v>[T155] V14-P0-009</x:v>
      </x:c>
      <x:c r="C53" s="24" t="str">
        <x:v>73dd367b-3883-4621-bdef-3951aee84881</x:v>
      </x:c>
      <x:c r="D53" s="24" t="str">
        <x:v>条件识别</x:v>
      </x:c>
      <x:c r="E53" s="24" t="str">
        <x:v>2.0</x:v>
      </x:c>
      <x:c r="F53" s="24" t="str">
        <x:v>V2 / bar-model</x:v>
      </x:c>
      <x:c r="G53" s="24" t="n">
        <x:v>4</x:v>
      </x:c>
      <x:c r="H53" s="24" t="str">
        <x:v>12</x:v>
      </x:c>
      <x:c r="I53" s="24" t="str">
        <x:v>本轮未深审</x:v>
      </x:c>
      <x:c r="J53" s="24" t="str">
        <x:v>PENDING_AI_DEEP_REVIEW</x:v>
      </x:c>
      <x:c r="K53" s="24" t="str">
        <x:v>原始未动</x:v>
      </x:c>
      <x:c r="L53" s="24" t="str">
        <x:v>PENDING</x:v>
      </x:c>
      <x:c r="M53" s="24" t="str"/>
      <x:c r="N53" s="24" t="str"/>
      <x:c r="O53" s="24" t="str"/>
    </x:row>
    <x:row r="54" ht="34" customHeight="1">
      <x:c r="A54" s="24" t="n">
        <x:v>53</x:v>
      </x:c>
      <x:c r="B54" s="24" t="str">
        <x:v>[T155] V14-P0-109</x:v>
      </x:c>
      <x:c r="C54" s="24" t="str">
        <x:v>f82cfc41-bfff-492c-9050-84f8aa768347</x:v>
      </x:c>
      <x:c r="D54" s="24" t="str">
        <x:v>条件识别</x:v>
      </x:c>
      <x:c r="E54" s="24" t="str">
        <x:v>2.0</x:v>
      </x:c>
      <x:c r="F54" s="24" t="str">
        <x:v>V2 / sorting-board</x:v>
      </x:c>
      <x:c r="G54" s="24" t="n">
        <x:v>4</x:v>
      </x:c>
      <x:c r="H54" s="24" t="str">
        <x:v>2578</x:v>
      </x:c>
      <x:c r="I54" s="24" t="str">
        <x:v>本轮未深审</x:v>
      </x:c>
      <x:c r="J54" s="24" t="str">
        <x:v>PENDING_AI_DEEP_REVIEW</x:v>
      </x:c>
      <x:c r="K54" s="24" t="str">
        <x:v>原始未动</x:v>
      </x:c>
      <x:c r="L54" s="24" t="str">
        <x:v>PENDING</x:v>
      </x:c>
      <x:c r="M54" s="24" t="str"/>
      <x:c r="N54" s="24" t="str"/>
      <x:c r="O54" s="24" t="str"/>
    </x:row>
    <x:row r="55" ht="34" customHeight="1">
      <x:c r="A55" s="24" t="n">
        <x:v>54</x:v>
      </x:c>
      <x:c r="B55" s="24" t="str">
        <x:v>[T155] V14-P0-044</x:v>
      </x:c>
      <x:c r="C55" s="24" t="str">
        <x:v>731d5899-b8c6-4adf-be50-0d0c3a5bba3b</x:v>
      </x:c>
      <x:c r="D55" s="24" t="str">
        <x:v>条件识别</x:v>
      </x:c>
      <x:c r="E55" s="24" t="str">
        <x:v>2.0</x:v>
      </x:c>
      <x:c r="F55" s="24" t="str">
        <x:v>V2 / ten-frame</x:v>
      </x:c>
      <x:c r="G55" s="24" t="n">
        <x:v>4</x:v>
      </x:c>
      <x:c r="H55" s="24" t="str">
        <x:v>10</x:v>
      </x:c>
      <x:c r="I55" s="24" t="str">
        <x:v>本轮未深审</x:v>
      </x:c>
      <x:c r="J55" s="24" t="str">
        <x:v>PENDING_AI_DEEP_REVIEW</x:v>
      </x:c>
      <x:c r="K55" s="24" t="str">
        <x:v>原始未动</x:v>
      </x:c>
      <x:c r="L55" s="24" t="str">
        <x:v>PENDING</x:v>
      </x:c>
      <x:c r="M55" s="24" t="str"/>
      <x:c r="N55" s="24" t="str"/>
      <x:c r="O55" s="24" t="str"/>
    </x:row>
    <x:row r="56" ht="34" customHeight="1">
      <x:c r="A56" s="24" t="n">
        <x:v>55</x:v>
      </x:c>
      <x:c r="B56" s="24" t="str">
        <x:v>[T155] V14-P0-144</x:v>
      </x:c>
      <x:c r="C56" s="24" t="str">
        <x:v>334962af-db9c-432e-9aa9-2d1cf5d5509d</x:v>
      </x:c>
      <x:c r="D56" s="24" t="str">
        <x:v>条件识别</x:v>
      </x:c>
      <x:c r="E56" s="24" t="str">
        <x:v>2.0</x:v>
      </x:c>
      <x:c r="F56" s="24" t="str">
        <x:v>V2 / money-board</x:v>
      </x:c>
      <x:c r="G56" s="24" t="n">
        <x:v>4</x:v>
      </x:c>
      <x:c r="H56" s="24" t="str">
        <x:v>45</x:v>
      </x:c>
      <x:c r="I56" s="24" t="str">
        <x:v>本轮未深审</x:v>
      </x:c>
      <x:c r="J56" s="24" t="str">
        <x:v>PENDING_AI_DEEP_REVIEW</x:v>
      </x:c>
      <x:c r="K56" s="24" t="str">
        <x:v>原始未动</x:v>
      </x:c>
      <x:c r="L56" s="24" t="str">
        <x:v>PENDING</x:v>
      </x:c>
      <x:c r="M56" s="24" t="str"/>
      <x:c r="N56" s="24" t="str"/>
      <x:c r="O56" s="24" t="str"/>
    </x:row>
    <x:row r="57" ht="34" customHeight="1">
      <x:c r="A57" s="24" t="n">
        <x:v>56</x:v>
      </x:c>
      <x:c r="B57" s="24" t="str">
        <x:v>[T155] V14-P0-094</x:v>
      </x:c>
      <x:c r="C57" s="24" t="str">
        <x:v>4821e8a3-dadd-4dcb-8660-f0d1fb9ad465</x:v>
      </x:c>
      <x:c r="D57" s="24" t="str">
        <x:v>条件识别</x:v>
      </x:c>
      <x:c r="E57" s="24" t="str">
        <x:v>2.0</x:v>
      </x:c>
      <x:c r="F57" s="24" t="str">
        <x:v>V2 / shape-gallery</x:v>
      </x:c>
      <x:c r="G57" s="24" t="n">
        <x:v>4</x:v>
      </x:c>
      <x:c r="H57" s="24" t="str">
        <x:v>2</x:v>
      </x:c>
      <x:c r="I57" s="24" t="str">
        <x:v>重点逐题预审</x:v>
      </x:c>
      <x:c r="J57" s="24" t="str">
        <x:v>APPROVED_CANDIDATE</x:v>
      </x:c>
      <x:c r="K57" s="24" t="str">
        <x:v>整改新版（旧 2bbbc87a·shape_name_neutralize）</x:v>
      </x:c>
      <x:c r="L57" s="24" t="str">
        <x:v>PENDING</x:v>
      </x:c>
      <x:c r="M57" s="24" t="str"/>
      <x:c r="N57" s="24" t="str"/>
      <x:c r="O57" s="24" t="str"/>
    </x:row>
    <x:row r="58" ht="34" customHeight="1">
      <x:c r="A58" s="24" t="n">
        <x:v>57</x:v>
      </x:c>
      <x:c r="B58" s="24" t="str">
        <x:v>[T155] V14-P0-135</x:v>
      </x:c>
      <x:c r="C58" s="24" t="str">
        <x:v>ba367b62-e01a-4233-b3bb-5b1ff5bc718a</x:v>
      </x:c>
      <x:c r="D58" s="24" t="str">
        <x:v>条件识别</x:v>
      </x:c>
      <x:c r="E58" s="24" t="str">
        <x:v>2.0</x:v>
      </x:c>
      <x:c r="F58" s="24" t="str">
        <x:v>V2 / clock</x:v>
      </x:c>
      <x:c r="G58" s="24" t="n">
        <x:v>5</x:v>
      </x:c>
      <x:c r="H58" s="24" t="str">
        <x:v>510</x:v>
      </x:c>
      <x:c r="I58" s="24" t="str">
        <x:v>本轮未深审</x:v>
      </x:c>
      <x:c r="J58" s="24" t="str">
        <x:v>PENDING_AI_DEEP_REVIEW</x:v>
      </x:c>
      <x:c r="K58" s="24" t="str">
        <x:v>原始未动</x:v>
      </x:c>
      <x:c r="L58" s="24" t="str">
        <x:v>PENDING</x:v>
      </x:c>
      <x:c r="M58" s="24" t="str"/>
      <x:c r="N58" s="24" t="str"/>
      <x:c r="O58" s="24" t="str"/>
    </x:row>
    <x:row r="59" ht="34" customHeight="1">
      <x:c r="A59" s="24" t="n">
        <x:v>58</x:v>
      </x:c>
      <x:c r="B59" s="24" t="str">
        <x:v>[T155] V14-P0-150</x:v>
      </x:c>
      <x:c r="C59" s="24" t="str">
        <x:v>99b86483-6fe7-46bb-962d-ef298d779cce</x:v>
      </x:c>
      <x:c r="D59" s="24" t="str">
        <x:v>条件识别</x:v>
      </x:c>
      <x:c r="E59" s="24" t="str">
        <x:v>2.0</x:v>
      </x:c>
      <x:c r="F59" s="24" t="str">
        <x:v>V2 / pattern-board</x:v>
      </x:c>
      <x:c r="G59" s="24" t="n">
        <x:v>5</x:v>
      </x:c>
      <x:c r="H59" s="24" t="str">
        <x:v>25</x:v>
      </x:c>
      <x:c r="I59" s="24" t="str">
        <x:v>本轮未深审</x:v>
      </x:c>
      <x:c r="J59" s="24" t="str">
        <x:v>PENDING_AI_DEEP_REVIEW</x:v>
      </x:c>
      <x:c r="K59" s="24" t="str">
        <x:v>原始未动</x:v>
      </x:c>
      <x:c r="L59" s="24" t="str">
        <x:v>PENDING</x:v>
      </x:c>
      <x:c r="M59" s="24" t="str"/>
      <x:c r="N59" s="24" t="str"/>
      <x:c r="O59" s="24" t="str"/>
    </x:row>
    <x:row r="60" ht="34" customHeight="1">
      <x:c r="A60" s="24" t="n">
        <x:v>59</x:v>
      </x:c>
      <x:c r="B60" s="24" t="str">
        <x:v>[T155] V14-P0-105</x:v>
      </x:c>
      <x:c r="C60" s="24" t="str">
        <x:v>85be0be8-48ce-4624-882b-bce315ebf893</x:v>
      </x:c>
      <x:c r="D60" s="24" t="str">
        <x:v>条件识别</x:v>
      </x:c>
      <x:c r="E60" s="24" t="str">
        <x:v>2.0</x:v>
      </x:c>
      <x:c r="F60" s="24" t="str">
        <x:v>V2 / sorting-board</x:v>
      </x:c>
      <x:c r="G60" s="24" t="n">
        <x:v>5</x:v>
      </x:c>
      <x:c r="H60" s="24" t="str">
        <x:v>2468</x:v>
      </x:c>
      <x:c r="I60" s="24" t="str">
        <x:v>本轮未深审</x:v>
      </x:c>
      <x:c r="J60" s="24" t="str">
        <x:v>PENDING_AI_DEEP_REVIEW</x:v>
      </x:c>
      <x:c r="K60" s="24" t="str">
        <x:v>原始未动</x:v>
      </x:c>
      <x:c r="L60" s="24" t="str">
        <x:v>PENDING</x:v>
      </x:c>
      <x:c r="M60" s="24" t="str"/>
      <x:c r="N60" s="24" t="str"/>
      <x:c r="O60" s="24" t="str"/>
    </x:row>
    <x:row r="61" ht="34" customHeight="1">
      <x:c r="A61" s="24" t="n">
        <x:v>60</x:v>
      </x:c>
      <x:c r="B61" s="24" t="str">
        <x:v>[T155] V14-P0-140</x:v>
      </x:c>
      <x:c r="C61" s="24" t="str">
        <x:v>da0d938c-90f9-4e06-9b16-aa6af9e568df</x:v>
      </x:c>
      <x:c r="D61" s="24" t="str">
        <x:v>条件识别</x:v>
      </x:c>
      <x:c r="E61" s="24" t="str">
        <x:v>2.0</x:v>
      </x:c>
      <x:c r="F61" s="24" t="str">
        <x:v>V2 / money-board</x:v>
      </x:c>
      <x:c r="G61" s="24" t="n">
        <x:v>5</x:v>
      </x:c>
      <x:c r="H61" s="24" t="str">
        <x:v>65</x:v>
      </x:c>
      <x:c r="I61" s="24" t="str">
        <x:v>本轮未深审</x:v>
      </x:c>
      <x:c r="J61" s="24" t="str">
        <x:v>PENDING_AI_DEEP_REVIEW</x:v>
      </x:c>
      <x:c r="K61" s="24" t="str">
        <x:v>原始未动</x:v>
      </x:c>
      <x:c r="L61" s="24" t="str">
        <x:v>PENDING</x:v>
      </x:c>
      <x:c r="M61" s="24" t="str"/>
      <x:c r="N61" s="24" t="str"/>
      <x:c r="O61" s="24" t="str"/>
    </x:row>
    <x:row r="62" ht="34" customHeight="1">
      <x:c r="A62" s="24" t="n">
        <x:v>61</x:v>
      </x:c>
      <x:c r="B62" s="24" t="str">
        <x:v>[T155] V14-P0-110</x:v>
      </x:c>
      <x:c r="C62" s="24" t="str">
        <x:v>34e1cead-8285-426e-9aad-80a1995c73d2</x:v>
      </x:c>
      <x:c r="D62" s="24" t="str">
        <x:v>条件识别</x:v>
      </x:c>
      <x:c r="E62" s="24" t="str">
        <x:v>2.0</x:v>
      </x:c>
      <x:c r="F62" s="24" t="str">
        <x:v>V2 / sorting-board</x:v>
      </x:c>
      <x:c r="G62" s="24" t="n">
        <x:v>5</x:v>
      </x:c>
      <x:c r="H62" s="24" t="str">
        <x:v>1469</x:v>
      </x:c>
      <x:c r="I62" s="24" t="str">
        <x:v>本轮未深审</x:v>
      </x:c>
      <x:c r="J62" s="24" t="str">
        <x:v>PENDING_AI_DEEP_REVIEW</x:v>
      </x:c>
      <x:c r="K62" s="24" t="str">
        <x:v>原始未动</x:v>
      </x:c>
      <x:c r="L62" s="24" t="str">
        <x:v>PENDING</x:v>
      </x:c>
      <x:c r="M62" s="24" t="str"/>
      <x:c r="N62" s="24" t="str"/>
      <x:c r="O62" s="24" t="str"/>
    </x:row>
    <x:row r="63" ht="34" customHeight="1">
      <x:c r="A63" s="24" t="n">
        <x:v>62</x:v>
      </x:c>
      <x:c r="B63" s="24" t="str">
        <x:v>[T155] V14-P0-090</x:v>
      </x:c>
      <x:c r="C63" s="24" t="str">
        <x:v>31554b60-52f5-4f51-86ee-04aea3d09c08</x:v>
      </x:c>
      <x:c r="D63" s="24" t="str">
        <x:v>条件识别</x:v>
      </x:c>
      <x:c r="E63" s="24" t="str">
        <x:v>2.0</x:v>
      </x:c>
      <x:c r="F63" s="24" t="str">
        <x:v>V2 / shape-gallery</x:v>
      </x:c>
      <x:c r="G63" s="24" t="n">
        <x:v>5</x:v>
      </x:c>
      <x:c r="H63" s="24" t="str">
        <x:v>1</x:v>
      </x:c>
      <x:c r="I63" s="24" t="str">
        <x:v>重点逐题预审</x:v>
      </x:c>
      <x:c r="J63" s="24" t="str">
        <x:v>APPROVED_CANDIDATE</x:v>
      </x:c>
      <x:c r="K63" s="24" t="str">
        <x:v>整改新版（旧 125e7a06·shape_name_neutralize）</x:v>
      </x:c>
      <x:c r="L63" s="24" t="str">
        <x:v>PENDING</x:v>
      </x:c>
      <x:c r="M63" s="24" t="str"/>
      <x:c r="N63" s="24" t="str"/>
      <x:c r="O63" s="24" t="str"/>
    </x:row>
    <x:row r="64" ht="34" customHeight="1">
      <x:c r="A64" s="24" t="n">
        <x:v>63</x:v>
      </x:c>
      <x:c r="B64" s="24" t="str">
        <x:v>摆一摆看相差</x:v>
      </x:c>
      <x:c r="C64" s="24" t="str">
        <x:v>7acb4a38-e51a-4c48-aa0b-4d0bce402f2e</x:v>
      </x:c>
      <x:c r="D64" s="24" t="str">
        <x:v>建模表征</x:v>
      </x:c>
      <x:c r="E64" s="24" t="str">
        <x:v>1.0</x:v>
      </x:c>
      <x:c r="F64" s="24" t="str">
        <x:v>V1 / objects</x:v>
      </x:c>
      <x:c r="G64" s="24" t="n">
        <x:v>1</x:v>
      </x:c>
      <x:c r="H64" s="24" t="str">
        <x:v>2</x:v>
      </x:c>
      <x:c r="I64" s="24" t="str">
        <x:v>本轮未深审</x:v>
      </x:c>
      <x:c r="J64" s="24" t="str">
        <x:v>PENDING_AI_DEEP_REVIEW</x:v>
      </x:c>
      <x:c r="K64" s="24" t="str">
        <x:v>原始未动</x:v>
      </x:c>
      <x:c r="L64" s="24" t="str">
        <x:v>PENDING</x:v>
      </x:c>
      <x:c r="M64" s="24" t="str"/>
      <x:c r="N64" s="24" t="str"/>
      <x:c r="O64" s="24" t="str"/>
    </x:row>
    <x:row r="65" ht="34" customHeight="1">
      <x:c r="A65" s="24" t="n">
        <x:v>64</x:v>
      </x:c>
      <x:c r="B65" s="24" t="str">
        <x:v>画条形图算一共（V2 链 R02）</x:v>
      </x:c>
      <x:c r="C65" s="24" t="str">
        <x:v>98bb0ca7-74dc-4c24-aba0-abe0e4a37c2c</x:v>
      </x:c>
      <x:c r="D65" s="24" t="str">
        <x:v>建模表征</x:v>
      </x:c>
      <x:c r="E65" s="24" t="str">
        <x:v>2.0</x:v>
      </x:c>
      <x:c r="F65" s="24" t="str">
        <x:v>V2 / bar-model</x:v>
      </x:c>
      <x:c r="G65" s="24" t="n">
        <x:v>1</x:v>
      </x:c>
      <x:c r="H65" s="24" t="str">
        <x:v>8</x:v>
      </x:c>
      <x:c r="I65" s="24" t="str">
        <x:v>重点逐题预审</x:v>
      </x:c>
      <x:c r="J65" s="24" t="str">
        <x:v>APPROVED_CANDIDATE</x:v>
      </x:c>
      <x:c r="K65" s="24" t="str">
        <x:v>原始未动</x:v>
      </x:c>
      <x:c r="L65" s="24" t="str">
        <x:v>PENDING</x:v>
      </x:c>
      <x:c r="M65" s="24" t="str"/>
      <x:c r="N65" s="24" t="str"/>
      <x:c r="O65" s="24" t="str"/>
    </x:row>
    <x:row r="66" ht="34" customHeight="1">
      <x:c r="A66" s="24" t="n">
        <x:v>65</x:v>
      </x:c>
      <x:c r="B66" s="24" t="str">
        <x:v>排队做操（V2 链 R08）</x:v>
      </x:c>
      <x:c r="C66" s="24" t="str">
        <x:v>5d41bfd4-bc9b-4c54-b454-2413041fa1bf</x:v>
      </x:c>
      <x:c r="D66" s="24" t="str">
        <x:v>建模表征</x:v>
      </x:c>
      <x:c r="E66" s="24" t="str">
        <x:v>2.0</x:v>
      </x:c>
      <x:c r="F66" s="24" t="str">
        <x:v>V2 / array-board</x:v>
      </x:c>
      <x:c r="G66" s="24" t="n">
        <x:v>1</x:v>
      </x:c>
      <x:c r="H66" s="24" t="str">
        <x:v>12</x:v>
      </x:c>
      <x:c r="I66" s="24" t="str">
        <x:v>重点逐题预审</x:v>
      </x:c>
      <x:c r="J66" s="24" t="str">
        <x:v>APPROVED_CANDIDATE</x:v>
      </x:c>
      <x:c r="K66" s="24" t="str">
        <x:v>原始未动</x:v>
      </x:c>
      <x:c r="L66" s="24" t="str">
        <x:v>PENDING</x:v>
      </x:c>
      <x:c r="M66" s="24" t="str"/>
      <x:c r="N66" s="24" t="str"/>
      <x:c r="O66" s="24" t="str"/>
    </x:row>
    <x:row r="67" ht="34" customHeight="1">
      <x:c r="A67" s="24" t="n">
        <x:v>66</x:v>
      </x:c>
      <x:c r="B67" s="24" t="str">
        <x:v>从起点走到星星格</x:v>
      </x:c>
      <x:c r="C67" s="24" t="str">
        <x:v>ee4d223b-614b-4e96-9299-87ed992b1c26</x:v>
      </x:c>
      <x:c r="D67" s="24" t="str">
        <x:v>建模表征</x:v>
      </x:c>
      <x:c r="E67" s="24" t="str">
        <x:v>2.0</x:v>
      </x:c>
      <x:c r="F67" s="24" t="str">
        <x:v>V2 / direction-grid</x:v>
      </x:c>
      <x:c r="G67" s="24" t="n">
        <x:v>1</x:v>
      </x:c>
      <x:c r="H67" s="24" t="str">
        <x:v>19</x:v>
      </x:c>
      <x:c r="I67" s="24" t="str">
        <x:v>本轮未深审</x:v>
      </x:c>
      <x:c r="J67" s="24" t="str">
        <x:v>PENDING_AI_DEEP_REVIEW</x:v>
      </x:c>
      <x:c r="K67" s="24" t="str">
        <x:v>原始未动</x:v>
      </x:c>
      <x:c r="L67" s="24" t="str">
        <x:v>PENDING</x:v>
      </x:c>
      <x:c r="M67" s="24" t="str"/>
      <x:c r="N67" s="24" t="str"/>
      <x:c r="O67" s="24" t="str"/>
    </x:row>
    <x:row r="68" ht="34" customHeight="1">
      <x:c r="A68" s="24" t="n">
        <x:v>67</x:v>
      </x:c>
      <x:c r="B68" s="24" t="str">
        <x:v>量一量铅笔有多长</x:v>
      </x:c>
      <x:c r="C68" s="24" t="str">
        <x:v>1f23c045-615a-451a-9090-61c3d5d55013</x:v>
      </x:c>
      <x:c r="D68" s="24" t="str">
        <x:v>建模表征</x:v>
      </x:c>
      <x:c r="E68" s="24" t="str">
        <x:v>2.0</x:v>
      </x:c>
      <x:c r="F68" s="24" t="str">
        <x:v>V2 / ruler</x:v>
      </x:c>
      <x:c r="G68" s="24" t="n">
        <x:v>1</x:v>
      </x:c>
      <x:c r="H68" s="24" t="str">
        <x:v>5</x:v>
      </x:c>
      <x:c r="I68" s="24" t="str">
        <x:v>本轮未深审</x:v>
      </x:c>
      <x:c r="J68" s="24" t="str">
        <x:v>PENDING_AI_DEEP_REVIEW</x:v>
      </x:c>
      <x:c r="K68" s="24" t="str">
        <x:v>原始未动</x:v>
      </x:c>
      <x:c r="L68" s="24" t="str">
        <x:v>PENDING</x:v>
      </x:c>
      <x:c r="M68" s="24" t="str"/>
      <x:c r="N68" s="24" t="str"/>
      <x:c r="O68" s="24" t="str"/>
    </x:row>
    <x:row r="69" ht="34" customHeight="1">
      <x:c r="A69" s="24" t="n">
        <x:v>68</x:v>
      </x:c>
      <x:c r="B69" s="24" t="str">
        <x:v>[T155] V14-P0-041</x:v>
      </x:c>
      <x:c r="C69" s="24" t="str">
        <x:v>06546dfb-7e18-45ab-8491-de6cdb0ebefb</x:v>
      </x:c>
      <x:c r="D69" s="24" t="str">
        <x:v>建模表征</x:v>
      </x:c>
      <x:c r="E69" s="24" t="str">
        <x:v>2.0</x:v>
      </x:c>
      <x:c r="F69" s="24" t="str">
        <x:v>V2 / ten-frame</x:v>
      </x:c>
      <x:c r="G69" s="24" t="n">
        <x:v>1</x:v>
      </x:c>
      <x:c r="H69" s="24" t="str">
        <x:v>10</x:v>
      </x:c>
      <x:c r="I69" s="24" t="str">
        <x:v>本轮未深审</x:v>
      </x:c>
      <x:c r="J69" s="24" t="str">
        <x:v>PENDING_AI_DEEP_REVIEW</x:v>
      </x:c>
      <x:c r="K69" s="24" t="str">
        <x:v>原始未动</x:v>
      </x:c>
      <x:c r="L69" s="24" t="str">
        <x:v>PENDING</x:v>
      </x:c>
      <x:c r="M69" s="24" t="str"/>
      <x:c r="N69" s="24" t="str"/>
      <x:c r="O69" s="24" t="str"/>
    </x:row>
    <x:row r="70" ht="34" customHeight="1">
      <x:c r="A70" s="24" t="n">
        <x:v>69</x:v>
      </x:c>
      <x:c r="B70" s="24" t="str">
        <x:v>[T155] V14-P0-101</x:v>
      </x:c>
      <x:c r="C70" s="24" t="str">
        <x:v>3527282b-7c3a-490b-805c-295294f25c35</x:v>
      </x:c>
      <x:c r="D70" s="24" t="str">
        <x:v>建模表征</x:v>
      </x:c>
      <x:c r="E70" s="24" t="str">
        <x:v>2.0</x:v>
      </x:c>
      <x:c r="F70" s="24" t="str">
        <x:v>V2 / shape-canvas</x:v>
      </x:c>
      <x:c r="G70" s="24" t="n">
        <x:v>1</x:v>
      </x:c>
      <x:c r="H70" s="24" t="str">
        <x:v>8</x:v>
      </x:c>
      <x:c r="I70" s="24" t="str">
        <x:v>本轮未深审</x:v>
      </x:c>
      <x:c r="J70" s="24" t="str">
        <x:v>PENDING_AI_DEEP_REVIEW</x:v>
      </x:c>
      <x:c r="K70" s="24" t="str">
        <x:v>原始未动</x:v>
      </x:c>
      <x:c r="L70" s="24" t="str">
        <x:v>PENDING</x:v>
      </x:c>
      <x:c r="M70" s="24" t="str"/>
      <x:c r="N70" s="24" t="str"/>
      <x:c r="O70" s="24" t="str"/>
    </x:row>
    <x:row r="71" ht="34" customHeight="1">
      <x:c r="A71" s="24" t="n">
        <x:v>70</x:v>
      </x:c>
      <x:c r="B71" s="24" t="str">
        <x:v>[T155] V14-P0-081</x:v>
      </x:c>
      <x:c r="C71" s="24" t="str">
        <x:v>13c3b756-29fb-440d-8ebc-1ed1ca12975b</x:v>
      </x:c>
      <x:c r="D71" s="24" t="str">
        <x:v>建模表征</x:v>
      </x:c>
      <x:c r="E71" s="24" t="str">
        <x:v>2.0</x:v>
      </x:c>
      <x:c r="F71" s="24" t="str">
        <x:v>V2 / estimation-canvas</x:v>
      </x:c>
      <x:c r="G71" s="24" t="n">
        <x:v>1</x:v>
      </x:c>
      <x:c r="H71" s="24" t="str">
        <x:v>20</x:v>
      </x:c>
      <x:c r="I71" s="24" t="str">
        <x:v>本轮未深审</x:v>
      </x:c>
      <x:c r="J71" s="24" t="str">
        <x:v>PENDING_AI_DEEP_REVIEW</x:v>
      </x:c>
      <x:c r="K71" s="24" t="str">
        <x:v>原始未动</x:v>
      </x:c>
      <x:c r="L71" s="24" t="str">
        <x:v>PENDING</x:v>
      </x:c>
      <x:c r="M71" s="24" t="str"/>
      <x:c r="N71" s="24" t="str"/>
      <x:c r="O71" s="24" t="str"/>
    </x:row>
    <x:row r="72" ht="34" customHeight="1">
      <x:c r="A72" s="24" t="n">
        <x:v>71</x:v>
      </x:c>
      <x:c r="B72" s="24" t="str">
        <x:v>[T155] V14-P0-121</x:v>
      </x:c>
      <x:c r="C72" s="24" t="str">
        <x:v>ec2f9d09-e870-4b20-8cc3-89e736417c4d</x:v>
      </x:c>
      <x:c r="D72" s="24" t="str">
        <x:v>建模表征</x:v>
      </x:c>
      <x:c r="E72" s="24" t="str">
        <x:v>2.0</x:v>
      </x:c>
      <x:c r="F72" s="24" t="str">
        <x:v>V2 / ruler</x:v>
      </x:c>
      <x:c r="G72" s="24" t="n">
        <x:v>1</x:v>
      </x:c>
      <x:c r="H72" s="24" t="str">
        <x:v>5</x:v>
      </x:c>
      <x:c r="I72" s="24" t="str">
        <x:v>本轮未深审</x:v>
      </x:c>
      <x:c r="J72" s="24" t="str">
        <x:v>PENDING_AI_DEEP_REVIEW</x:v>
      </x:c>
      <x:c r="K72" s="24" t="str">
        <x:v>原始未动</x:v>
      </x:c>
      <x:c r="L72" s="24" t="str">
        <x:v>PENDING</x:v>
      </x:c>
      <x:c r="M72" s="24" t="str"/>
      <x:c r="N72" s="24" t="str"/>
      <x:c r="O72" s="24" t="str"/>
    </x:row>
    <x:row r="73" ht="34" customHeight="1">
      <x:c r="A73" s="24" t="n">
        <x:v>72</x:v>
      </x:c>
      <x:c r="B73" s="24" t="str">
        <x:v>[T155] V14-P0-116</x:v>
      </x:c>
      <x:c r="C73" s="24" t="str">
        <x:v>6390a46a-0c66-41ff-bf10-2c27b09ed113</x:v>
      </x:c>
      <x:c r="D73" s="24" t="str">
        <x:v>建模表征</x:v>
      </x:c>
      <x:c r="E73" s="24" t="str">
        <x:v>2.0</x:v>
      </x:c>
      <x:c r="F73" s="24" t="str">
        <x:v>V2 / direction-grid</x:v>
      </x:c>
      <x:c r="G73" s="24" t="n">
        <x:v>1</x:v>
      </x:c>
      <x:c r="H73" s="24" t="str">
        <x:v>14</x:v>
      </x:c>
      <x:c r="I73" s="24" t="str">
        <x:v>本轮未深审</x:v>
      </x:c>
      <x:c r="J73" s="24" t="str">
        <x:v>PENDING_AI_DEEP_REVIEW</x:v>
      </x:c>
      <x:c r="K73" s="24" t="str">
        <x:v>原始未动</x:v>
      </x:c>
      <x:c r="L73" s="24" t="str">
        <x:v>PENDING</x:v>
      </x:c>
      <x:c r="M73" s="24" t="str"/>
      <x:c r="N73" s="24" t="str"/>
      <x:c r="O73" s="24" t="str"/>
    </x:row>
    <x:row r="74" ht="34" customHeight="1">
      <x:c r="A74" s="24" t="n">
        <x:v>73</x:v>
      </x:c>
      <x:c r="B74" s="24" t="str">
        <x:v>[T155] V14-P0-001</x:v>
      </x:c>
      <x:c r="C74" s="24" t="str">
        <x:v>b9a431f0-c717-4ad0-97ff-69a5cf629656</x:v>
      </x:c>
      <x:c r="D74" s="24" t="str">
        <x:v>建模表征</x:v>
      </x:c>
      <x:c r="E74" s="24" t="str">
        <x:v>2.0</x:v>
      </x:c>
      <x:c r="F74" s="24" t="str">
        <x:v>V2 / object-counter</x:v>
      </x:c>
      <x:c r="G74" s="24" t="n">
        <x:v>1</x:v>
      </x:c>
      <x:c r="H74" s="24" t="str">
        <x:v>8</x:v>
      </x:c>
      <x:c r="I74" s="24" t="str">
        <x:v>本轮未深审</x:v>
      </x:c>
      <x:c r="J74" s="24" t="str">
        <x:v>PENDING_AI_DEEP_REVIEW</x:v>
      </x:c>
      <x:c r="K74" s="24" t="str">
        <x:v>原始未动</x:v>
      </x:c>
      <x:c r="L74" s="24" t="str">
        <x:v>PENDING</x:v>
      </x:c>
      <x:c r="M74" s="24" t="str"/>
      <x:c r="N74" s="24" t="str"/>
      <x:c r="O74" s="24" t="str"/>
    </x:row>
    <x:row r="75" ht="34" customHeight="1">
      <x:c r="A75" s="24" t="n">
        <x:v>74</x:v>
      </x:c>
      <x:c r="B75" s="24" t="str">
        <x:v>画出多出的部分</x:v>
      </x:c>
      <x:c r="C75" s="24" t="str">
        <x:v>8b121389-2d87-4ea2-aef1-0a626e5464de</x:v>
      </x:c>
      <x:c r="D75" s="24" t="str">
        <x:v>建模表征</x:v>
      </x:c>
      <x:c r="E75" s="24" t="str">
        <x:v>1.0</x:v>
      </x:c>
      <x:c r="F75" s="24" t="str">
        <x:v>V1 / bar-model</x:v>
      </x:c>
      <x:c r="G75" s="24" t="n">
        <x:v>2</x:v>
      </x:c>
      <x:c r="H75" s="24" t="str">
        <x:v>10</x:v>
      </x:c>
      <x:c r="I75" s="24" t="str">
        <x:v>本轮未深审</x:v>
      </x:c>
      <x:c r="J75" s="24" t="str">
        <x:v>PENDING_AI_DEEP_REVIEW</x:v>
      </x:c>
      <x:c r="K75" s="24" t="str">
        <x:v>原始未动</x:v>
      </x:c>
      <x:c r="L75" s="24" t="str">
        <x:v>PENDING</x:v>
      </x:c>
      <x:c r="M75" s="24" t="str"/>
      <x:c r="N75" s="24" t="str"/>
      <x:c r="O75" s="24" t="str"/>
    </x:row>
    <x:row r="76" ht="34" customHeight="1">
      <x:c r="A76" s="24" t="n">
        <x:v>75</x:v>
      </x:c>
      <x:c r="B76" s="24" t="str">
        <x:v>用数轴表示减少</x:v>
      </x:c>
      <x:c r="C76" s="24" t="str">
        <x:v>103ddd46-c99c-4572-8b9a-feba0a267a98</x:v>
      </x:c>
      <x:c r="D76" s="24" t="str">
        <x:v>建模表征</x:v>
      </x:c>
      <x:c r="E76" s="24" t="str">
        <x:v>1.0</x:v>
      </x:c>
      <x:c r="F76" s="24" t="str">
        <x:v>V1 / number-line</x:v>
      </x:c>
      <x:c r="G76" s="24" t="n">
        <x:v>2</x:v>
      </x:c>
      <x:c r="H76" s="24" t="str">
        <x:v>8</x:v>
      </x:c>
      <x:c r="I76" s="24" t="str">
        <x:v>本轮未深审</x:v>
      </x:c>
      <x:c r="J76" s="24" t="str">
        <x:v>PENDING_AI_DEEP_REVIEW</x:v>
      </x:c>
      <x:c r="K76" s="24" t="str">
        <x:v>原始未动</x:v>
      </x:c>
      <x:c r="L76" s="24" t="str">
        <x:v>PENDING</x:v>
      </x:c>
      <x:c r="M76" s="24" t="str"/>
      <x:c r="N76" s="24" t="str"/>
      <x:c r="O76" s="24" t="str"/>
    </x:row>
    <x:row r="77" ht="34" customHeight="1">
      <x:c r="A77" s="24" t="n">
        <x:v>76</x:v>
      </x:c>
      <x:c r="B77" s="24" t="str">
        <x:v>用线段表示整体和部分</x:v>
      </x:c>
      <x:c r="C77" s="24" t="str">
        <x:v>240ff07b-3f7d-4420-97d3-e6ab89fd24dd</x:v>
      </x:c>
      <x:c r="D77" s="24" t="str">
        <x:v>建模表征</x:v>
      </x:c>
      <x:c r="E77" s="24" t="str">
        <x:v>1.0</x:v>
      </x:c>
      <x:c r="F77" s="24" t="str">
        <x:v>V1 / bar-model</x:v>
      </x:c>
      <x:c r="G77" s="24" t="n">
        <x:v>2</x:v>
      </x:c>
      <x:c r="H77" s="24" t="str">
        <x:v>8</x:v>
      </x:c>
      <x:c r="I77" s="24" t="str">
        <x:v>本轮未深审</x:v>
      </x:c>
      <x:c r="J77" s="24" t="str">
        <x:v>PENDING_AI_DEEP_REVIEW</x:v>
      </x:c>
      <x:c r="K77" s="24" t="str">
        <x:v>原始未动</x:v>
      </x:c>
      <x:c r="L77" s="24" t="str">
        <x:v>PENDING</x:v>
      </x:c>
      <x:c r="M77" s="24" t="str"/>
      <x:c r="N77" s="24" t="str"/>
      <x:c r="O77" s="24" t="str"/>
    </x:row>
    <x:row r="78" ht="34" customHeight="1">
      <x:c r="A78" s="24" t="n">
        <x:v>77</x:v>
      </x:c>
      <x:c r="B78" s="24" t="str">
        <x:v>书架上大约有多少本书</x:v>
      </x:c>
      <x:c r="C78" s="24" t="str">
        <x:v>cd7f008d-9637-4960-a4df-03684cce3e5a</x:v>
      </x:c>
      <x:c r="D78" s="24" t="str">
        <x:v>建模表征</x:v>
      </x:c>
      <x:c r="E78" s="24" t="str">
        <x:v>2.0</x:v>
      </x:c>
      <x:c r="F78" s="24" t="str">
        <x:v>V2 / estimation-canvas</x:v>
      </x:c>
      <x:c r="G78" s="24" t="n">
        <x:v>2</x:v>
      </x:c>
      <x:c r="H78" s="24" t="str">
        <x:v>40</x:v>
      </x:c>
      <x:c r="I78" s="24" t="str">
        <x:v>重点逐题预审</x:v>
      </x:c>
      <x:c r="J78" s="24" t="str">
        <x:v>REVISION_REQUIRED</x:v>
      </x:c>
      <x:c r="K78" s="24" t="str">
        <x:v>原始未动</x:v>
      </x:c>
      <x:c r="L78" s="24" t="str">
        <x:v>PENDING</x:v>
      </x:c>
      <x:c r="M78" s="24" t="str"/>
      <x:c r="N78" s="24" t="str"/>
      <x:c r="O78" s="24" t="str"/>
    </x:row>
    <x:row r="79" ht="34" customHeight="1">
      <x:c r="A79" s="24" t="n">
        <x:v>78</x:v>
      </x:c>
      <x:c r="B79" s="24" t="str">
        <x:v>钉子板上画一个长方形</x:v>
      </x:c>
      <x:c r="C79" s="24" t="str">
        <x:v>971b1f5e-6c4c-4fd2-ba92-e64c99ce9d3c</x:v>
      </x:c>
      <x:c r="D79" s="24" t="str">
        <x:v>建模表征</x:v>
      </x:c>
      <x:c r="E79" s="24" t="str">
        <x:v>2.0</x:v>
      </x:c>
      <x:c r="F79" s="24" t="str">
        <x:v>V2 / shape-canvas</x:v>
      </x:c>
      <x:c r="G79" s="24" t="n">
        <x:v>2</x:v>
      </x:c>
      <x:c r="H79" s="24" t="str">
        <x:v>6</x:v>
      </x:c>
      <x:c r="I79" s="24" t="str">
        <x:v>本轮未深审</x:v>
      </x:c>
      <x:c r="J79" s="24" t="str">
        <x:v>PENDING_AI_DEEP_REVIEW</x:v>
      </x:c>
      <x:c r="K79" s="24" t="str">
        <x:v>原始未动</x:v>
      </x:c>
      <x:c r="L79" s="24" t="str">
        <x:v>PENDING</x:v>
      </x:c>
      <x:c r="M79" s="24" t="str"/>
      <x:c r="N79" s="24" t="str"/>
      <x:c r="O79" s="24" t="str"/>
    </x:row>
    <x:row r="80" ht="34" customHeight="1">
      <x:c r="A80" s="24" t="n">
        <x:v>79</x:v>
      </x:c>
      <x:c r="B80" s="24" t="str">
        <x:v>[T155] V14-P0-127</x:v>
      </x:c>
      <x:c r="C80" s="24" t="str">
        <x:v>7f76aa86-eaa8-4bcb-a7cd-45d4b9033ac7</x:v>
      </x:c>
      <x:c r="D80" s="24" t="str">
        <x:v>建模表征</x:v>
      </x:c>
      <x:c r="E80" s="24" t="str">
        <x:v>2.0</x:v>
      </x:c>
      <x:c r="F80" s="24" t="str">
        <x:v>V2 / ruler</x:v>
      </x:c>
      <x:c r="G80" s="24" t="n">
        <x:v>2</x:v>
      </x:c>
      <x:c r="H80" s="24" t="str">
        <x:v>5</x:v>
      </x:c>
      <x:c r="I80" s="24" t="str">
        <x:v>本轮未深审</x:v>
      </x:c>
      <x:c r="J80" s="24" t="str">
        <x:v>PENDING_AI_DEEP_REVIEW</x:v>
      </x:c>
      <x:c r="K80" s="24" t="str">
        <x:v>原始未动</x:v>
      </x:c>
      <x:c r="L80" s="24" t="str">
        <x:v>PENDING</x:v>
      </x:c>
      <x:c r="M80" s="24" t="str"/>
      <x:c r="N80" s="24" t="str"/>
      <x:c r="O80" s="24" t="str"/>
    </x:row>
    <x:row r="81" ht="34" customHeight="1">
      <x:c r="A81" s="24" t="n">
        <x:v>80</x:v>
      </x:c>
      <x:c r="B81" s="24" t="str">
        <x:v>[T155] V14-P0-097</x:v>
      </x:c>
      <x:c r="C81" s="24" t="str">
        <x:v>d606f5a4-649e-4f4b-be4f-4ce63923263b</x:v>
      </x:c>
      <x:c r="D81" s="24" t="str">
        <x:v>建模表征</x:v>
      </x:c>
      <x:c r="E81" s="24" t="str">
        <x:v>2.0</x:v>
      </x:c>
      <x:c r="F81" s="24" t="str">
        <x:v>V2 / shape-canvas</x:v>
      </x:c>
      <x:c r="G81" s="24" t="n">
        <x:v>2</x:v>
      </x:c>
      <x:c r="H81" s="24" t="str">
        <x:v>6</x:v>
      </x:c>
      <x:c r="I81" s="24" t="str">
        <x:v>本轮未深审</x:v>
      </x:c>
      <x:c r="J81" s="24" t="str">
        <x:v>PENDING_AI_DEEP_REVIEW</x:v>
      </x:c>
      <x:c r="K81" s="24" t="str">
        <x:v>原始未动</x:v>
      </x:c>
      <x:c r="L81" s="24" t="str">
        <x:v>PENDING</x:v>
      </x:c>
      <x:c r="M81" s="24" t="str"/>
      <x:c r="N81" s="24" t="str"/>
      <x:c r="O81" s="24" t="str"/>
    </x:row>
    <x:row r="82" ht="34" customHeight="1">
      <x:c r="A82" s="24" t="n">
        <x:v>81</x:v>
      </x:c>
      <x:c r="B82" s="24" t="str">
        <x:v>[T155] V14-P0-102</x:v>
      </x:c>
      <x:c r="C82" s="24" t="str">
        <x:v>60039509-f8e6-47f5-a86a-04d9b84e05ef</x:v>
      </x:c>
      <x:c r="D82" s="24" t="str">
        <x:v>建模表征</x:v>
      </x:c>
      <x:c r="E82" s="24" t="str">
        <x:v>2.0</x:v>
      </x:c>
      <x:c r="F82" s="24" t="str">
        <x:v>V2 / shape-canvas</x:v>
      </x:c>
      <x:c r="G82" s="24" t="n">
        <x:v>2</x:v>
      </x:c>
      <x:c r="H82" s="24" t="str">
        <x:v>10</x:v>
      </x:c>
      <x:c r="I82" s="24" t="str">
        <x:v>本轮未深审</x:v>
      </x:c>
      <x:c r="J82" s="24" t="str">
        <x:v>PENDING_AI_DEEP_REVIEW</x:v>
      </x:c>
      <x:c r="K82" s="24" t="str">
        <x:v>原始未动</x:v>
      </x:c>
      <x:c r="L82" s="24" t="str">
        <x:v>PENDING</x:v>
      </x:c>
      <x:c r="M82" s="24" t="str"/>
      <x:c r="N82" s="24" t="str"/>
      <x:c r="O82" s="24" t="str"/>
    </x:row>
    <x:row r="83" ht="34" customHeight="1">
      <x:c r="A83" s="24" t="n">
        <x:v>82</x:v>
      </x:c>
      <x:c r="B83" s="24" t="str">
        <x:v>[T155] V14-P0-117</x:v>
      </x:c>
      <x:c r="C83" s="24" t="str">
        <x:v>41c2c254-2cd8-41eb-9eaa-cf1b62e472ac</x:v>
      </x:c>
      <x:c r="D83" s="24" t="str">
        <x:v>建模表征</x:v>
      </x:c>
      <x:c r="E83" s="24" t="str">
        <x:v>2.0</x:v>
      </x:c>
      <x:c r="F83" s="24" t="str">
        <x:v>V2 / direction-grid</x:v>
      </x:c>
      <x:c r="G83" s="24" t="n">
        <x:v>2</x:v>
      </x:c>
      <x:c r="H83" s="24" t="str">
        <x:v>22</x:v>
      </x:c>
      <x:c r="I83" s="24" t="str">
        <x:v>本轮未深审</x:v>
      </x:c>
      <x:c r="J83" s="24" t="str">
        <x:v>PENDING_AI_DEEP_REVIEW</x:v>
      </x:c>
      <x:c r="K83" s="24" t="str">
        <x:v>原始未动</x:v>
      </x:c>
      <x:c r="L83" s="24" t="str">
        <x:v>PENDING</x:v>
      </x:c>
      <x:c r="M83" s="24" t="str"/>
      <x:c r="N83" s="24" t="str"/>
      <x:c r="O83" s="24" t="str"/>
    </x:row>
    <x:row r="84" ht="34" customHeight="1">
      <x:c r="A84" s="24" t="n">
        <x:v>83</x:v>
      </x:c>
      <x:c r="B84" s="24" t="str">
        <x:v>少多少的线段图</x:v>
      </x:c>
      <x:c r="C84" s="24" t="str">
        <x:v>ed97b114-6599-4cd3-ad0e-ca1c3509ed57</x:v>
      </x:c>
      <x:c r="D84" s="24" t="str">
        <x:v>建模表征</x:v>
      </x:c>
      <x:c r="E84" s="24" t="str">
        <x:v>1.0</x:v>
      </x:c>
      <x:c r="F84" s="24" t="str">
        <x:v>V1 / bar-model</x:v>
      </x:c>
      <x:c r="G84" s="24" t="n">
        <x:v>3</x:v>
      </x:c>
      <x:c r="H84" s="24" t="str">
        <x:v>9</x:v>
      </x:c>
      <x:c r="I84" s="24" t="str">
        <x:v>本轮未深审</x:v>
      </x:c>
      <x:c r="J84" s="24" t="str">
        <x:v>PENDING_AI_DEEP_REVIEW</x:v>
      </x:c>
      <x:c r="K84" s="24" t="str">
        <x:v>原始未动</x:v>
      </x:c>
      <x:c r="L84" s="24" t="str">
        <x:v>PENDING</x:v>
      </x:c>
      <x:c r="M84" s="24" t="str"/>
      <x:c r="N84" s="24" t="str"/>
      <x:c r="O84" s="24" t="str"/>
    </x:row>
    <x:row r="85" ht="34" customHeight="1">
      <x:c r="A85" s="24" t="n">
        <x:v>84</x:v>
      </x:c>
      <x:c r="B85" s="24" t="str">
        <x:v>先建模再求总量</x:v>
      </x:c>
      <x:c r="C85" s="24" t="str">
        <x:v>8981fbcc-5b92-44b6-ab89-6b8ef0e715fd</x:v>
      </x:c>
      <x:c r="D85" s="24" t="str">
        <x:v>建模表征</x:v>
      </x:c>
      <x:c r="E85" s="24" t="str">
        <x:v>1.0</x:v>
      </x:c>
      <x:c r="F85" s="24" t="str">
        <x:v>V1 / bar-model</x:v>
      </x:c>
      <x:c r="G85" s="24" t="n">
        <x:v>3</x:v>
      </x:c>
      <x:c r="H85" s="24" t="str">
        <x:v>19</x:v>
      </x:c>
      <x:c r="I85" s="24" t="str">
        <x:v>本轮未深审</x:v>
      </x:c>
      <x:c r="J85" s="24" t="str">
        <x:v>PENDING_AI_DEEP_REVIEW</x:v>
      </x:c>
      <x:c r="K85" s="24" t="str">
        <x:v>原始未动</x:v>
      </x:c>
      <x:c r="L85" s="24" t="str">
        <x:v>PENDING</x:v>
      </x:c>
      <x:c r="M85" s="24" t="str"/>
      <x:c r="N85" s="24" t="str"/>
      <x:c r="O85" s="24" t="str"/>
    </x:row>
    <x:row r="86" ht="34" customHeight="1">
      <x:c r="A86" s="24" t="n">
        <x:v>85</x:v>
      </x:c>
      <x:c r="B86" s="24" t="str">
        <x:v>[T155] V14-P0-098</x:v>
      </x:c>
      <x:c r="C86" s="24" t="str">
        <x:v>b7d09e76-58f2-40af-a8ea-7d31a1bc3f6e</x:v>
      </x:c>
      <x:c r="D86" s="24" t="str">
        <x:v>建模表征</x:v>
      </x:c>
      <x:c r="E86" s="24" t="str">
        <x:v>2.0</x:v>
      </x:c>
      <x:c r="F86" s="24" t="str">
        <x:v>V2 / shape-canvas</x:v>
      </x:c>
      <x:c r="G86" s="24" t="n">
        <x:v>3</x:v>
      </x:c>
      <x:c r="H86" s="24" t="str">
        <x:v>6</x:v>
      </x:c>
      <x:c r="I86" s="24" t="str">
        <x:v>本轮未深审</x:v>
      </x:c>
      <x:c r="J86" s="24" t="str">
        <x:v>PENDING_AI_DEEP_REVIEW</x:v>
      </x:c>
      <x:c r="K86" s="24" t="str">
        <x:v>原始未动</x:v>
      </x:c>
      <x:c r="L86" s="24" t="str">
        <x:v>PENDING</x:v>
      </x:c>
      <x:c r="M86" s="24" t="str"/>
      <x:c r="N86" s="24" t="str"/>
      <x:c r="O86" s="24" t="str"/>
    </x:row>
    <x:row r="87" ht="34" customHeight="1">
      <x:c r="A87" s="24" t="n">
        <x:v>86</x:v>
      </x:c>
      <x:c r="B87" s="24" t="str">
        <x:v>[T155] V14-P0-013</x:v>
      </x:c>
      <x:c r="C87" s="24" t="str">
        <x:v>30a8e925-494f-4cf7-924f-0269af3e50cf</x:v>
      </x:c>
      <x:c r="D87" s="24" t="str">
        <x:v>建模表征</x:v>
      </x:c>
      <x:c r="E87" s="24" t="str">
        <x:v>2.0</x:v>
      </x:c>
      <x:c r="F87" s="24" t="str">
        <x:v>V2 / bar-model</x:v>
      </x:c>
      <x:c r="G87" s="24" t="n">
        <x:v>3</x:v>
      </x:c>
      <x:c r="H87" s="24" t="str">
        <x:v>11</x:v>
      </x:c>
      <x:c r="I87" s="24" t="str">
        <x:v>本轮未深审</x:v>
      </x:c>
      <x:c r="J87" s="24" t="str">
        <x:v>PENDING_AI_DEEP_REVIEW</x:v>
      </x:c>
      <x:c r="K87" s="24" t="str">
        <x:v>原始未动</x:v>
      </x:c>
      <x:c r="L87" s="24" t="str">
        <x:v>PENDING</x:v>
      </x:c>
      <x:c r="M87" s="24" t="str"/>
      <x:c r="N87" s="24" t="str"/>
      <x:c r="O87" s="24" t="str"/>
    </x:row>
    <x:row r="88" ht="34" customHeight="1">
      <x:c r="A88" s="24" t="n">
        <x:v>87</x:v>
      </x:c>
      <x:c r="B88" s="24" t="str">
        <x:v>[T155] V14-P0-113</x:v>
      </x:c>
      <x:c r="C88" s="24" t="str">
        <x:v>636ce1c0-7e36-403d-a669-e8fbaa51fef5</x:v>
      </x:c>
      <x:c r="D88" s="24" t="str">
        <x:v>建模表征</x:v>
      </x:c>
      <x:c r="E88" s="24" t="str">
        <x:v>2.0</x:v>
      </x:c>
      <x:c r="F88" s="24" t="str">
        <x:v>V2 / direction-grid</x:v>
      </x:c>
      <x:c r="G88" s="24" t="n">
        <x:v>3</x:v>
      </x:c>
      <x:c r="H88" s="24" t="str">
        <x:v>19</x:v>
      </x:c>
      <x:c r="I88" s="24" t="str">
        <x:v>本轮未深审</x:v>
      </x:c>
      <x:c r="J88" s="24" t="str">
        <x:v>PENDING_AI_DEEP_REVIEW</x:v>
      </x:c>
      <x:c r="K88" s="24" t="str">
        <x:v>原始未动</x:v>
      </x:c>
      <x:c r="L88" s="24" t="str">
        <x:v>PENDING</x:v>
      </x:c>
      <x:c r="M88" s="24" t="str"/>
      <x:c r="N88" s="24" t="str"/>
      <x:c r="O88" s="24" t="str"/>
    </x:row>
    <x:row r="89" ht="34" customHeight="1">
      <x:c r="A89" s="24" t="n">
        <x:v>88</x:v>
      </x:c>
      <x:c r="B89" s="24" t="str">
        <x:v>[T155] V14-P0-123</x:v>
      </x:c>
      <x:c r="C89" s="24" t="str">
        <x:v>92450f93-ebb1-4376-b614-8bb58b189a27</x:v>
      </x:c>
      <x:c r="D89" s="24" t="str">
        <x:v>建模表征</x:v>
      </x:c>
      <x:c r="E89" s="24" t="str">
        <x:v>2.0</x:v>
      </x:c>
      <x:c r="F89" s="24" t="str">
        <x:v>V2 / ruler</x:v>
      </x:c>
      <x:c r="G89" s="24" t="n">
        <x:v>3</x:v>
      </x:c>
      <x:c r="H89" s="24" t="str">
        <x:v>5</x:v>
      </x:c>
      <x:c r="I89" s="24" t="str">
        <x:v>本轮未深审</x:v>
      </x:c>
      <x:c r="J89" s="24" t="str">
        <x:v>PENDING_AI_DEEP_REVIEW</x:v>
      </x:c>
      <x:c r="K89" s="24" t="str">
        <x:v>原始未动</x:v>
      </x:c>
      <x:c r="L89" s="24" t="str">
        <x:v>PENDING</x:v>
      </x:c>
      <x:c r="M89" s="24" t="str"/>
      <x:c r="N89" s="24" t="str"/>
      <x:c r="O89" s="24" t="str"/>
    </x:row>
    <x:row r="90" ht="34" customHeight="1">
      <x:c r="A90" s="24" t="n">
        <x:v>89</x:v>
      </x:c>
      <x:c r="B90" s="24" t="str">
        <x:v>[T155] V14-P0-014</x:v>
      </x:c>
      <x:c r="C90" s="24" t="str">
        <x:v>d7fbd744-ea5f-40d8-9e55-39278a041192</x:v>
      </x:c>
      <x:c r="D90" s="24" t="str">
        <x:v>建模表征</x:v>
      </x:c>
      <x:c r="E90" s="24" t="str">
        <x:v>2.0</x:v>
      </x:c>
      <x:c r="F90" s="24" t="str">
        <x:v>V2 / bar-model</x:v>
      </x:c>
      <x:c r="G90" s="24" t="n">
        <x:v>4</x:v>
      </x:c>
      <x:c r="H90" s="24" t="str">
        <x:v>14</x:v>
      </x:c>
      <x:c r="I90" s="24" t="str">
        <x:v>本轮未深审</x:v>
      </x:c>
      <x:c r="J90" s="24" t="str">
        <x:v>PENDING_AI_DEEP_REVIEW</x:v>
      </x:c>
      <x:c r="K90" s="24" t="str">
        <x:v>原始未动</x:v>
      </x:c>
      <x:c r="L90" s="24" t="str">
        <x:v>PENDING</x:v>
      </x:c>
      <x:c r="M90" s="24" t="str"/>
      <x:c r="N90" s="24" t="str"/>
      <x:c r="O90" s="24" t="str"/>
    </x:row>
    <x:row r="91" ht="34" customHeight="1">
      <x:c r="A91" s="24" t="n">
        <x:v>90</x:v>
      </x:c>
      <x:c r="B91" s="24" t="str">
        <x:v>[T155] V14-P0-119</x:v>
      </x:c>
      <x:c r="C91" s="24" t="str">
        <x:v>9c3d0fe8-a9d5-431e-90ee-199d15abcfb0</x:v>
      </x:c>
      <x:c r="D91" s="24" t="str">
        <x:v>建模表征</x:v>
      </x:c>
      <x:c r="E91" s="24" t="str">
        <x:v>2.0</x:v>
      </x:c>
      <x:c r="F91" s="24" t="str">
        <x:v>V2 / direction-grid</x:v>
      </x:c>
      <x:c r="G91" s="24" t="n">
        <x:v>4</x:v>
      </x:c>
      <x:c r="H91" s="24" t="str">
        <x:v>1</x:v>
      </x:c>
      <x:c r="I91" s="24" t="str">
        <x:v>本轮未深审</x:v>
      </x:c>
      <x:c r="J91" s="24" t="str">
        <x:v>PENDING_AI_DEEP_REVIEW</x:v>
      </x:c>
      <x:c r="K91" s="24" t="str">
        <x:v>原始未动</x:v>
      </x:c>
      <x:c r="L91" s="24" t="str">
        <x:v>PENDING</x:v>
      </x:c>
      <x:c r="M91" s="24" t="str"/>
      <x:c r="N91" s="24" t="str"/>
      <x:c r="O91" s="24" t="str"/>
    </x:row>
    <x:row r="92" ht="34" customHeight="1">
      <x:c r="A92" s="24" t="n">
        <x:v>91</x:v>
      </x:c>
      <x:c r="B92" s="24" t="str">
        <x:v>[T155] V14-P0-154</x:v>
      </x:c>
      <x:c r="C92" s="24" t="str">
        <x:v>a76ac388-4c00-4888-82f1-6d49e852dfbc</x:v>
      </x:c>
      <x:c r="D92" s="24" t="str">
        <x:v>建模表征</x:v>
      </x:c>
      <x:c r="E92" s="24" t="str">
        <x:v>2.0</x:v>
      </x:c>
      <x:c r="F92" s="24" t="str">
        <x:v>V2 / bar-model</x:v>
      </x:c>
      <x:c r="G92" s="24" t="n">
        <x:v>4</x:v>
      </x:c>
      <x:c r="H92" s="24" t="str">
        <x:v>7</x:v>
      </x:c>
      <x:c r="I92" s="24" t="str">
        <x:v>本轮未深审</x:v>
      </x:c>
      <x:c r="J92" s="24" t="str">
        <x:v>PENDING_AI_DEEP_REVIEW</x:v>
      </x:c>
      <x:c r="K92" s="24" t="str">
        <x:v>原始未动</x:v>
      </x:c>
      <x:c r="L92" s="24" t="str">
        <x:v>PENDING</x:v>
      </x:c>
      <x:c r="M92" s="24" t="str"/>
      <x:c r="N92" s="24" t="str"/>
      <x:c r="O92" s="24" t="str"/>
    </x:row>
    <x:row r="93" ht="34" customHeight="1">
      <x:c r="A93" s="24" t="n">
        <x:v>92</x:v>
      </x:c>
      <x:c r="B93" s="24" t="str">
        <x:v>两步变化的数轴模型</x:v>
      </x:c>
      <x:c r="C93" s="24" t="str">
        <x:v>bb376fbd-06c8-4604-91c9-4cc195567a49</x:v>
      </x:c>
      <x:c r="D93" s="24" t="str">
        <x:v>建模表征</x:v>
      </x:c>
      <x:c r="E93" s="24" t="str">
        <x:v>1.0</x:v>
      </x:c>
      <x:c r="F93" s="24" t="str">
        <x:v>V1 / number-line</x:v>
      </x:c>
      <x:c r="G93" s="24" t="n">
        <x:v>4</x:v>
      </x:c>
      <x:c r="H93" s="24" t="str">
        <x:v>11</x:v>
      </x:c>
      <x:c r="I93" s="24" t="str">
        <x:v>版本更新补审</x:v>
      </x:c>
      <x:c r="J93" s="24" t="str">
        <x:v>REVISION_REQUIRED</x:v>
      </x:c>
      <x:c r="K93" s="24" t="str">
        <x:v>整改新版（旧 e02a5afe·axis_max_fix）</x:v>
      </x:c>
      <x:c r="L93" s="24" t="str">
        <x:v>PENDING</x:v>
      </x:c>
      <x:c r="M93" s="24" t="str"/>
      <x:c r="N93" s="24" t="str"/>
      <x:c r="O93" s="24" t="str"/>
    </x:row>
    <x:row r="94" ht="34" customHeight="1">
      <x:c r="A94" s="24" t="n">
        <x:v>93</x:v>
      </x:c>
      <x:c r="B94" s="24" t="str">
        <x:v>[T155] V14-P0-120</x:v>
      </x:c>
      <x:c r="C94" s="24" t="str">
        <x:v>9d87de37-ebe8-4f29-a433-f23b6be2cced</x:v>
      </x:c>
      <x:c r="D94" s="24" t="str">
        <x:v>建模表征</x:v>
      </x:c>
      <x:c r="E94" s="24" t="str">
        <x:v>2.0</x:v>
      </x:c>
      <x:c r="F94" s="24" t="str">
        <x:v>V2 / direction-grid</x:v>
      </x:c>
      <x:c r="G94" s="24" t="n">
        <x:v>5</x:v>
      </x:c>
      <x:c r="H94" s="24" t="str">
        <x:v>23</x:v>
      </x:c>
      <x:c r="I94" s="24" t="str">
        <x:v>本轮未深审</x:v>
      </x:c>
      <x:c r="J94" s="24" t="str">
        <x:v>PENDING_AI_DEEP_REVIEW</x:v>
      </x:c>
      <x:c r="K94" s="24" t="str">
        <x:v>原始未动</x:v>
      </x:c>
      <x:c r="L94" s="24" t="str">
        <x:v>PENDING</x:v>
      </x:c>
      <x:c r="M94" s="24" t="str"/>
      <x:c r="N94" s="24" t="str"/>
      <x:c r="O94" s="24" t="str"/>
    </x:row>
    <x:row r="95" ht="34" customHeight="1">
      <x:c r="A95" s="24" t="n">
        <x:v>94</x:v>
      </x:c>
      <x:c r="B95" s="24" t="str">
        <x:v>[T155] V14-P0-010</x:v>
      </x:c>
      <x:c r="C95" s="24" t="str">
        <x:v>e1e2c896-705b-411e-8bc3-24b13e428ab9</x:v>
      </x:c>
      <x:c r="D95" s="24" t="str">
        <x:v>建模表征</x:v>
      </x:c>
      <x:c r="E95" s="24" t="str">
        <x:v>2.0</x:v>
      </x:c>
      <x:c r="F95" s="24" t="str">
        <x:v>V2 / bar-model</x:v>
      </x:c>
      <x:c r="G95" s="24" t="n">
        <x:v>5</x:v>
      </x:c>
      <x:c r="H95" s="24" t="str">
        <x:v>7</x:v>
      </x:c>
      <x:c r="I95" s="24" t="str">
        <x:v>本轮未深审</x:v>
      </x:c>
      <x:c r="J95" s="24" t="str">
        <x:v>PENDING_AI_DEEP_REVIEW</x:v>
      </x:c>
      <x:c r="K95" s="24" t="str">
        <x:v>原始未动</x:v>
      </x:c>
      <x:c r="L95" s="24" t="str">
        <x:v>PENDING</x:v>
      </x:c>
      <x:c r="M95" s="24" t="str"/>
      <x:c r="N95" s="24" t="str"/>
      <x:c r="O95" s="24" t="str"/>
    </x:row>
    <x:row r="96" ht="34" customHeight="1">
      <x:c r="A96" s="24" t="n">
        <x:v>95</x:v>
      </x:c>
      <x:c r="B96" s="24" t="str">
        <x:v>[T155] V14-P0-005</x:v>
      </x:c>
      <x:c r="C96" s="24" t="str">
        <x:v>08d4f5bc-5534-4999-b431-47847834b049</x:v>
      </x:c>
      <x:c r="D96" s="24" t="str">
        <x:v>建模表征</x:v>
      </x:c>
      <x:c r="E96" s="24" t="str">
        <x:v>2.0</x:v>
      </x:c>
      <x:c r="F96" s="24" t="str">
        <x:v>V2 / object-counter</x:v>
      </x:c>
      <x:c r="G96" s="24" t="n">
        <x:v>5</x:v>
      </x:c>
      <x:c r="H96" s="24" t="str">
        <x:v>3</x:v>
      </x:c>
      <x:c r="I96" s="24" t="str">
        <x:v>本轮未深审</x:v>
      </x:c>
      <x:c r="J96" s="24" t="str">
        <x:v>PENDING_AI_DEEP_REVIEW</x:v>
      </x:c>
      <x:c r="K96" s="24" t="str">
        <x:v>原始未动</x:v>
      </x:c>
      <x:c r="L96" s="24" t="str">
        <x:v>PENDING</x:v>
      </x:c>
      <x:c r="M96" s="24" t="str"/>
      <x:c r="N96" s="24" t="str"/>
      <x:c r="O96" s="24" t="str"/>
    </x:row>
    <x:row r="97" ht="34" customHeight="1">
      <x:c r="A97" s="24" t="n">
        <x:v>96</x:v>
      </x:c>
      <x:c r="B97" s="24" t="str">
        <x:v>[T155] V14-P0-125</x:v>
      </x:c>
      <x:c r="C97" s="24" t="str">
        <x:v>c2555798-1f10-4ba2-8a4f-90f483bdb630</x:v>
      </x:c>
      <x:c r="D97" s="24" t="str">
        <x:v>建模表征</x:v>
      </x:c>
      <x:c r="E97" s="24" t="str">
        <x:v>2.0</x:v>
      </x:c>
      <x:c r="F97" s="24" t="str">
        <x:v>V2 / ruler</x:v>
      </x:c>
      <x:c r="G97" s="24" t="n">
        <x:v>5</x:v>
      </x:c>
      <x:c r="H97" s="24" t="str">
        <x:v>7</x:v>
      </x:c>
      <x:c r="I97" s="24" t="str">
        <x:v>本轮未深审</x:v>
      </x:c>
      <x:c r="J97" s="24" t="str">
        <x:v>PENDING_AI_DEEP_REVIEW</x:v>
      </x:c>
      <x:c r="K97" s="24" t="str">
        <x:v>原始未动</x:v>
      </x:c>
      <x:c r="L97" s="24" t="str">
        <x:v>PENDING</x:v>
      </x:c>
      <x:c r="M97" s="24" t="str"/>
      <x:c r="N97" s="24" t="str"/>
      <x:c r="O97" s="24" t="str"/>
    </x:row>
    <x:row r="98" ht="34" customHeight="1">
      <x:c r="A98" s="24" t="n">
        <x:v>97</x:v>
      </x:c>
      <x:c r="B98" s="24" t="str">
        <x:v>[T155] V14-P0-115</x:v>
      </x:c>
      <x:c r="C98" s="24" t="str">
        <x:v>5b5adf98-e92a-4e3c-b2ba-725c5465e682</x:v>
      </x:c>
      <x:c r="D98" s="24" t="str">
        <x:v>建模表征</x:v>
      </x:c>
      <x:c r="E98" s="24" t="str">
        <x:v>2.0</x:v>
      </x:c>
      <x:c r="F98" s="24" t="str">
        <x:v>V2 / direction-grid</x:v>
      </x:c>
      <x:c r="G98" s="24" t="n">
        <x:v>5</x:v>
      </x:c>
      <x:c r="H98" s="24" t="str">
        <x:v>20</x:v>
      </x:c>
      <x:c r="I98" s="24" t="str">
        <x:v>本轮未深审</x:v>
      </x:c>
      <x:c r="J98" s="24" t="str">
        <x:v>PENDING_AI_DEEP_REVIEW</x:v>
      </x:c>
      <x:c r="K98" s="24" t="str">
        <x:v>原始未动</x:v>
      </x:c>
      <x:c r="L98" s="24" t="str">
        <x:v>PENDING</x:v>
      </x:c>
      <x:c r="M98" s="24" t="str"/>
      <x:c r="N98" s="24" t="str"/>
      <x:c r="O98" s="24" t="str"/>
    </x:row>
    <x:row r="99" ht="34" customHeight="1">
      <x:c r="A99" s="24" t="n">
        <x:v>98</x:v>
      </x:c>
      <x:c r="B99" s="24" t="str">
        <x:v>[T155] V14-P0-085</x:v>
      </x:c>
      <x:c r="C99" s="24" t="str">
        <x:v>b77322ff-e0db-40f2-a464-2ff4f00736a7</x:v>
      </x:c>
      <x:c r="D99" s="24" t="str">
        <x:v>建模表征</x:v>
      </x:c>
      <x:c r="E99" s="24" t="str">
        <x:v>2.0</x:v>
      </x:c>
      <x:c r="F99" s="24" t="str">
        <x:v>V2 / estimation-canvas</x:v>
      </x:c>
      <x:c r="G99" s="24" t="n">
        <x:v>5</x:v>
      </x:c>
      <x:c r="H99" s="24" t="str">
        <x:v>50</x:v>
      </x:c>
      <x:c r="I99" s="24" t="str">
        <x:v>本轮未深审</x:v>
      </x:c>
      <x:c r="J99" s="24" t="str">
        <x:v>PENDING_AI_DEEP_REVIEW</x:v>
      </x:c>
      <x:c r="K99" s="24" t="str">
        <x:v>原始未动</x:v>
      </x:c>
      <x:c r="L99" s="24" t="str">
        <x:v>PENDING</x:v>
      </x:c>
      <x:c r="M99" s="24" t="str"/>
      <x:c r="N99" s="24" t="str"/>
      <x:c r="O99" s="24" t="str"/>
    </x:row>
    <x:row r="100" ht="34" customHeight="1">
      <x:c r="A100" s="24" t="n">
        <x:v>99</x:v>
      </x:c>
      <x:c r="B100" s="24" t="str">
        <x:v>[T155] V14-P0-045</x:v>
      </x:c>
      <x:c r="C100" s="24" t="str">
        <x:v>ef898a50-01a6-4600-88a9-643aeffb6dbd</x:v>
      </x:c>
      <x:c r="D100" s="24" t="str">
        <x:v>建模表征</x:v>
      </x:c>
      <x:c r="E100" s="24" t="str">
        <x:v>2.0</x:v>
      </x:c>
      <x:c r="F100" s="24" t="str">
        <x:v>V2 / ten-frame</x:v>
      </x:c>
      <x:c r="G100" s="24" t="n">
        <x:v>5</x:v>
      </x:c>
      <x:c r="H100" s="24" t="str">
        <x:v>10</x:v>
      </x:c>
      <x:c r="I100" s="24" t="str">
        <x:v>本轮未深审</x:v>
      </x:c>
      <x:c r="J100" s="24" t="str">
        <x:v>PENDING_AI_DEEP_REVIEW</x:v>
      </x:c>
      <x:c r="K100" s="24" t="str">
        <x:v>原始未动</x:v>
      </x:c>
      <x:c r="L100" s="24" t="str">
        <x:v>PENDING</x:v>
      </x:c>
      <x:c r="M100" s="24" t="str"/>
      <x:c r="N100" s="24" t="str"/>
      <x:c r="O100" s="24" t="str"/>
    </x:row>
    <x:row r="101" ht="34" customHeight="1">
      <x:c r="A101" s="24" t="n">
        <x:v>100</x:v>
      </x:c>
      <x:c r="B101" s="24" t="str">
        <x:v>题目问的是哪一种</x:v>
      </x:c>
      <x:c r="C101" s="24" t="str">
        <x:v>462ce951-1a48-4f11-b669-501a8689d33b</x:v>
      </x:c>
      <x:c r="D101" s="24" t="str">
        <x:v>读题理解</x:v>
      </x:c>
      <x:c r="E101" s="24" t="str">
        <x:v>1.0</x:v>
      </x:c>
      <x:c r="F101" s="24" t="str">
        <x:v>V1 / number</x:v>
      </x:c>
      <x:c r="G101" s="24" t="n">
        <x:v>1</x:v>
      </x:c>
      <x:c r="H101" s="24" t="str">
        <x:v>2</x:v>
      </x:c>
      <x:c r="I101" s="24" t="str">
        <x:v>本轮未深审</x:v>
      </x:c>
      <x:c r="J101" s="24" t="str">
        <x:v>PENDING_AI_DEEP_REVIEW</x:v>
      </x:c>
      <x:c r="K101" s="24" t="str">
        <x:v>原始未动</x:v>
      </x:c>
      <x:c r="L101" s="24" t="str">
        <x:v>PENDING</x:v>
      </x:c>
      <x:c r="M101" s="24" t="str"/>
      <x:c r="N101" s="24" t="str"/>
      <x:c r="O101" s="24" t="str"/>
    </x:row>
    <x:row r="102" ht="34" customHeight="1">
      <x:c r="A102" s="24" t="n">
        <x:v>101</x:v>
      </x:c>
      <x:c r="B102" s="24" t="str">
        <x:v>看清人物</x:v>
      </x:c>
      <x:c r="C102" s="24" t="str">
        <x:v>76695c2b-63c9-4904-8a6b-f1fdf7036297</x:v>
      </x:c>
      <x:c r="D102" s="24" t="str">
        <x:v>读题理解</x:v>
      </x:c>
      <x:c r="E102" s="24" t="str">
        <x:v>1.0</x:v>
      </x:c>
      <x:c r="F102" s="24" t="str">
        <x:v>V1 / number</x:v>
      </x:c>
      <x:c r="G102" s="24" t="n">
        <x:v>1</x:v>
      </x:c>
      <x:c r="H102" s="24" t="str">
        <x:v>3</x:v>
      </x:c>
      <x:c r="I102" s="24" t="str">
        <x:v>本轮未深审</x:v>
      </x:c>
      <x:c r="J102" s="24" t="str">
        <x:v>PENDING_AI_DEEP_REVIEW</x:v>
      </x:c>
      <x:c r="K102" s="24" t="str">
        <x:v>原始未动</x:v>
      </x:c>
      <x:c r="L102" s="24" t="str">
        <x:v>PENDING</x:v>
      </x:c>
      <x:c r="M102" s="24" t="str"/>
      <x:c r="N102" s="24" t="str"/>
      <x:c r="O102" s="24" t="str"/>
    </x:row>
    <x:row r="103" ht="34" customHeight="1">
      <x:c r="A103" s="24" t="n">
        <x:v>102</x:v>
      </x:c>
      <x:c r="B103" s="24" t="str">
        <x:v>看清颜色</x:v>
      </x:c>
      <x:c r="C103" s="24" t="str">
        <x:v>bf475e65-405e-49f6-8095-c1a1d9402efb</x:v>
      </x:c>
      <x:c r="D103" s="24" t="str">
        <x:v>读题理解</x:v>
      </x:c>
      <x:c r="E103" s="24" t="str">
        <x:v>1.0</x:v>
      </x:c>
      <x:c r="F103" s="24" t="str">
        <x:v>V1 / number</x:v>
      </x:c>
      <x:c r="G103" s="24" t="n">
        <x:v>1</x:v>
      </x:c>
      <x:c r="H103" s="24" t="str">
        <x:v>4</x:v>
      </x:c>
      <x:c r="I103" s="24" t="str">
        <x:v>本轮未深审</x:v>
      </x:c>
      <x:c r="J103" s="24" t="str">
        <x:v>PENDING_AI_DEEP_REVIEW</x:v>
      </x:c>
      <x:c r="K103" s="24" t="str">
        <x:v>原始未动</x:v>
      </x:c>
      <x:c r="L103" s="24" t="str">
        <x:v>PENDING</x:v>
      </x:c>
      <x:c r="M103" s="24" t="str"/>
      <x:c r="N103" s="24" t="str"/>
      <x:c r="O103" s="24" t="str"/>
    </x:row>
    <x:row r="104" ht="34" customHeight="1">
      <x:c r="A104" s="24" t="n">
        <x:v>103</x:v>
      </x:c>
      <x:c r="B104" s="24" t="str">
        <x:v>[T155] V14-P0-006</x:v>
      </x:c>
      <x:c r="C104" s="24" t="str">
        <x:v>855de461-b22d-41c2-b3bd-5d03976965c8</x:v>
      </x:c>
      <x:c r="D104" s="24" t="str">
        <x:v>读题理解</x:v>
      </x:c>
      <x:c r="E104" s="24" t="str">
        <x:v>2.0</x:v>
      </x:c>
      <x:c r="F104" s="24" t="str">
        <x:v>V2 / object-counter</x:v>
      </x:c>
      <x:c r="G104" s="24" t="n">
        <x:v>1</x:v>
      </x:c>
      <x:c r="H104" s="24" t="str">
        <x:v>6</x:v>
      </x:c>
      <x:c r="I104" s="24" t="str">
        <x:v>重点逐题预审</x:v>
      </x:c>
      <x:c r="J104" s="24" t="str">
        <x:v>REVISION_REQUIRED</x:v>
      </x:c>
      <x:c r="K104" s="24" t="str">
        <x:v>原始未动</x:v>
      </x:c>
      <x:c r="L104" s="24" t="str">
        <x:v>PENDING</x:v>
      </x:c>
      <x:c r="M104" s="24" t="str"/>
      <x:c r="N104" s="24" t="str"/>
      <x:c r="O104" s="24" t="str"/>
    </x:row>
    <x:row r="105" ht="34" customHeight="1">
      <x:c r="A105" s="24" t="n">
        <x:v>104</x:v>
      </x:c>
      <x:c r="B105" s="24" t="str">
        <x:v>[T155] V14-P0-046</x:v>
      </x:c>
      <x:c r="C105" s="24" t="str">
        <x:v>e479b6ef-c53b-45e7-ae44-e7c5077028e3</x:v>
      </x:c>
      <x:c r="D105" s="24" t="str">
        <x:v>读题理解</x:v>
      </x:c>
      <x:c r="E105" s="24" t="str">
        <x:v>2.0</x:v>
      </x:c>
      <x:c r="F105" s="24" t="str">
        <x:v>V2 / ten-frame</x:v>
      </x:c>
      <x:c r="G105" s="24" t="n">
        <x:v>1</x:v>
      </x:c>
      <x:c r="H105" s="24" t="str">
        <x:v>10</x:v>
      </x:c>
      <x:c r="I105" s="24" t="str">
        <x:v>重点逐题预审</x:v>
      </x:c>
      <x:c r="J105" s="24" t="str">
        <x:v>REVISION_REQUIRED</x:v>
      </x:c>
      <x:c r="K105" s="24" t="str">
        <x:v>原始未动</x:v>
      </x:c>
      <x:c r="L105" s="24" t="str">
        <x:v>PENDING</x:v>
      </x:c>
      <x:c r="M105" s="24" t="str"/>
      <x:c r="N105" s="24" t="str"/>
      <x:c r="O105" s="24" t="str"/>
    </x:row>
    <x:row r="106" ht="34" customHeight="1">
      <x:c r="A106" s="24" t="n">
        <x:v>105</x:v>
      </x:c>
      <x:c r="B106" s="24" t="str">
        <x:v>[T155] V14-P0-091</x:v>
      </x:c>
      <x:c r="C106" s="24" t="str">
        <x:v>3f97f749-deb5-4bf7-a14b-c2eb1b71c89f</x:v>
      </x:c>
      <x:c r="D106" s="24" t="str">
        <x:v>读题理解</x:v>
      </x:c>
      <x:c r="E106" s="24" t="str">
        <x:v>2.0</x:v>
      </x:c>
      <x:c r="F106" s="24" t="str">
        <x:v>V2 / shape-gallery</x:v>
      </x:c>
      <x:c r="G106" s="24" t="n">
        <x:v>1</x:v>
      </x:c>
      <x:c r="H106" s="24" t="str">
        <x:v>1</x:v>
      </x:c>
      <x:c r="I106" s="24" t="str">
        <x:v>重点逐题预审</x:v>
      </x:c>
      <x:c r="J106" s="24" t="str">
        <x:v>REVISION_REQUIRED</x:v>
      </x:c>
      <x:c r="K106" s="24" t="str">
        <x:v>整改新版（旧 985156bc·shape_name_neutralize）</x:v>
      </x:c>
      <x:c r="L106" s="24" t="str">
        <x:v>PENDING</x:v>
      </x:c>
      <x:c r="M106" s="24" t="str"/>
      <x:c r="N106" s="24" t="str"/>
      <x:c r="O106" s="24" t="str"/>
    </x:row>
    <x:row r="107" ht="34" customHeight="1">
      <x:c r="A107" s="24" t="n">
        <x:v>106</x:v>
      </x:c>
      <x:c r="B107" s="24" t="str">
        <x:v>看清时间</x:v>
      </x:c>
      <x:c r="C107" s="24" t="str">
        <x:v>0da1d340-d51c-4b32-92d8-703daf8bac4e</x:v>
      </x:c>
      <x:c r="D107" s="24" t="str">
        <x:v>读题理解</x:v>
      </x:c>
      <x:c r="E107" s="24" t="str">
        <x:v>1.0</x:v>
      </x:c>
      <x:c r="F107" s="24" t="str">
        <x:v>V1 / number</x:v>
      </x:c>
      <x:c r="G107" s="24" t="n">
        <x:v>2</x:v>
      </x:c>
      <x:c r="H107" s="24" t="str">
        <x:v>6</x:v>
      </x:c>
      <x:c r="I107" s="24" t="str">
        <x:v>本轮未深审</x:v>
      </x:c>
      <x:c r="J107" s="24" t="str">
        <x:v>PENDING_AI_DEEP_REVIEW</x:v>
      </x:c>
      <x:c r="K107" s="24" t="str">
        <x:v>原始未动</x:v>
      </x:c>
      <x:c r="L107" s="24" t="str">
        <x:v>PENDING</x:v>
      </x:c>
      <x:c r="M107" s="24" t="str"/>
      <x:c r="N107" s="24" t="str"/>
      <x:c r="O107" s="24" t="str"/>
    </x:row>
    <x:row r="108" ht="34" customHeight="1">
      <x:c r="A108" s="24" t="n">
        <x:v>107</x:v>
      </x:c>
      <x:c r="B108" s="24" t="str">
        <x:v>多人多物品</x:v>
      </x:c>
      <x:c r="C108" s="24" t="str">
        <x:v>3fd4f402-d595-4f63-b616-09bfeca5101a</x:v>
      </x:c>
      <x:c r="D108" s="24" t="str">
        <x:v>读题理解</x:v>
      </x:c>
      <x:c r="E108" s="24" t="str">
        <x:v>1.0</x:v>
      </x:c>
      <x:c r="F108" s="24" t="str">
        <x:v>V1 / number</x:v>
      </x:c>
      <x:c r="G108" s="24" t="n">
        <x:v>2</x:v>
      </x:c>
      <x:c r="H108" s="24" t="str">
        <x:v>6</x:v>
      </x:c>
      <x:c r="I108" s="24" t="str">
        <x:v>本轮未深审</x:v>
      </x:c>
      <x:c r="J108" s="24" t="str">
        <x:v>PENDING_AI_DEEP_REVIEW</x:v>
      </x:c>
      <x:c r="K108" s="24" t="str">
        <x:v>原始未动</x:v>
      </x:c>
      <x:c r="L108" s="24" t="str">
        <x:v>PENDING</x:v>
      </x:c>
      <x:c r="M108" s="24" t="str"/>
      <x:c r="N108" s="24" t="str"/>
      <x:c r="O108" s="24" t="str"/>
    </x:row>
    <x:row r="109" ht="34" customHeight="1">
      <x:c r="A109" s="24" t="n">
        <x:v>108</x:v>
      </x:c>
      <x:c r="B109" s="24" t="str">
        <x:v>数字卡回家（V2 链 R06）</x:v>
      </x:c>
      <x:c r="C109" s="24" t="str">
        <x:v>9d0d3a7e-57f6-4602-ab4d-1ead6affb26e</x:v>
      </x:c>
      <x:c r="D109" s="24" t="str">
        <x:v>读题理解</x:v>
      </x:c>
      <x:c r="E109" s="24" t="str">
        <x:v>2.0</x:v>
      </x:c>
      <x:c r="F109" s="24" t="str">
        <x:v>V2 / place-value</x:v>
      </x:c>
      <x:c r="G109" s="24" t="n">
        <x:v>2</x:v>
      </x:c>
      <x:c r="H109" s="24" t="str">
        <x:v>352</x:v>
      </x:c>
      <x:c r="I109" s="24" t="str">
        <x:v>重点逐题预审</x:v>
      </x:c>
      <x:c r="J109" s="24" t="str">
        <x:v>REVISION_REQUIRED</x:v>
      </x:c>
      <x:c r="K109" s="24" t="str">
        <x:v>原始未动</x:v>
      </x:c>
      <x:c r="L109" s="24" t="str">
        <x:v>PENDING</x:v>
      </x:c>
      <x:c r="M109" s="24" t="str"/>
      <x:c r="N109" s="24" t="str"/>
      <x:c r="O109" s="24" t="str"/>
    </x:row>
    <x:row r="110" ht="34" customHeight="1">
      <x:c r="A110" s="24" t="n">
        <x:v>109</x:v>
      </x:c>
      <x:c r="B110" s="24" t="str">
        <x:v>把数字卡从小到大排好</x:v>
      </x:c>
      <x:c r="C110" s="24" t="str">
        <x:v>6cf420db-b161-491a-99bd-5d08807bec66</x:v>
      </x:c>
      <x:c r="D110" s="24" t="str">
        <x:v>读题理解</x:v>
      </x:c>
      <x:c r="E110" s="24" t="str">
        <x:v>2.0</x:v>
      </x:c>
      <x:c r="F110" s="24" t="str">
        <x:v>V2 / sorting-board</x:v>
      </x:c>
      <x:c r="G110" s="24" t="n">
        <x:v>2</x:v>
      </x:c>
      <x:c r="H110" s="24" t="str">
        <x:v>1247</x:v>
      </x:c>
      <x:c r="I110" s="24" t="str">
        <x:v>重点逐题预审</x:v>
      </x:c>
      <x:c r="J110" s="24" t="str">
        <x:v>REVISION_REQUIRED</x:v>
      </x:c>
      <x:c r="K110" s="24" t="str">
        <x:v>原始未动</x:v>
      </x:c>
      <x:c r="L110" s="24" t="str">
        <x:v>PENDING</x:v>
      </x:c>
      <x:c r="M110" s="24" t="str"/>
      <x:c r="N110" s="24" t="str"/>
      <x:c r="O110" s="24" t="str"/>
    </x:row>
    <x:row r="111" ht="34" customHeight="1">
      <x:c r="A111" s="24" t="n">
        <x:v>110</x:v>
      </x:c>
      <x:c r="B111" s="24" t="str">
        <x:v>[T155] V14-P0-037</x:v>
      </x:c>
      <x:c r="C111" s="24" t="str">
        <x:v>4936b35f-a5dc-44d4-9b2e-e58c6f3b7c0e</x:v>
      </x:c>
      <x:c r="D111" s="24" t="str">
        <x:v>读题理解</x:v>
      </x:c>
      <x:c r="E111" s="24" t="str">
        <x:v>2.0</x:v>
      </x:c>
      <x:c r="F111" s="24" t="str">
        <x:v>V2 / place-value</x:v>
      </x:c>
      <x:c r="G111" s="24" t="n">
        <x:v>2</x:v>
      </x:c>
      <x:c r="H111" s="24" t="str">
        <x:v>92</x:v>
      </x:c>
      <x:c r="I111" s="24" t="str">
        <x:v>重点逐题预审</x:v>
      </x:c>
      <x:c r="J111" s="24" t="str">
        <x:v>REVISION_REQUIRED</x:v>
      </x:c>
      <x:c r="K111" s="24" t="str">
        <x:v>原始未动</x:v>
      </x:c>
      <x:c r="L111" s="24" t="str">
        <x:v>PENDING</x:v>
      </x:c>
      <x:c r="M111" s="24" t="str"/>
      <x:c r="N111" s="24" t="str"/>
      <x:c r="O111" s="24" t="str"/>
    </x:row>
    <x:row r="112" ht="34" customHeight="1">
      <x:c r="A112" s="24" t="n">
        <x:v>111</x:v>
      </x:c>
      <x:c r="B112" s="24" t="str">
        <x:v>[T155] V14-P0-042</x:v>
      </x:c>
      <x:c r="C112" s="24" t="str">
        <x:v>6385e11e-3b06-42df-b8ed-80666ec64c65</x:v>
      </x:c>
      <x:c r="D112" s="24" t="str">
        <x:v>读题理解</x:v>
      </x:c>
      <x:c r="E112" s="24" t="str">
        <x:v>2.0</x:v>
      </x:c>
      <x:c r="F112" s="24" t="str">
        <x:v>V2 / ten-frame</x:v>
      </x:c>
      <x:c r="G112" s="24" t="n">
        <x:v>2</x:v>
      </x:c>
      <x:c r="H112" s="24" t="str">
        <x:v>10</x:v>
      </x:c>
      <x:c r="I112" s="24" t="str">
        <x:v>重点逐题预审</x:v>
      </x:c>
      <x:c r="J112" s="24" t="str">
        <x:v>REVISION_REQUIRED</x:v>
      </x:c>
      <x:c r="K112" s="24" t="str">
        <x:v>原始未动</x:v>
      </x:c>
      <x:c r="L112" s="24" t="str">
        <x:v>PENDING</x:v>
      </x:c>
      <x:c r="M112" s="24" t="str"/>
      <x:c r="N112" s="24" t="str"/>
      <x:c r="O112" s="24" t="str"/>
    </x:row>
    <x:row r="113" ht="34" customHeight="1">
      <x:c r="A113" s="24" t="n">
        <x:v>112</x:v>
      </x:c>
      <x:c r="B113" s="24" t="str">
        <x:v>[T155] V14-P0-002</x:v>
      </x:c>
      <x:c r="C113" s="24" t="str">
        <x:v>24a50da9-303b-41b0-9bb4-6c10797f7c70</x:v>
      </x:c>
      <x:c r="D113" s="24" t="str">
        <x:v>读题理解</x:v>
      </x:c>
      <x:c r="E113" s="24" t="str">
        <x:v>2.0</x:v>
      </x:c>
      <x:c r="F113" s="24" t="str">
        <x:v>V2 / object-counter</x:v>
      </x:c>
      <x:c r="G113" s="24" t="n">
        <x:v>2</x:v>
      </x:c>
      <x:c r="H113" s="24" t="str">
        <x:v>7</x:v>
      </x:c>
      <x:c r="I113" s="24" t="str">
        <x:v>重点逐题预审</x:v>
      </x:c>
      <x:c r="J113" s="24" t="str">
        <x:v>REVISION_REQUIRED</x:v>
      </x:c>
      <x:c r="K113" s="24" t="str">
        <x:v>原始未动</x:v>
      </x:c>
      <x:c r="L113" s="24" t="str">
        <x:v>PENDING</x:v>
      </x:c>
      <x:c r="M113" s="24" t="str"/>
      <x:c r="N113" s="24" t="str"/>
      <x:c r="O113" s="24" t="str"/>
    </x:row>
    <x:row r="114" ht="34" customHeight="1">
      <x:c r="A114" s="24" t="n">
        <x:v>113</x:v>
      </x:c>
      <x:c r="B114" s="24" t="str">
        <x:v>多信息里找原来的数量</x:v>
      </x:c>
      <x:c r="C114" s="24" t="str">
        <x:v>aba8131f-4799-4adf-b676-b366c1b49403</x:v>
      </x:c>
      <x:c r="D114" s="24" t="str">
        <x:v>读题理解</x:v>
      </x:c>
      <x:c r="E114" s="24" t="str">
        <x:v>1.0</x:v>
      </x:c>
      <x:c r="F114" s="24" t="str">
        <x:v>V1 / number</x:v>
      </x:c>
      <x:c r="G114" s="24" t="n">
        <x:v>3</x:v>
      </x:c>
      <x:c r="H114" s="24" t="str">
        <x:v>8</x:v>
      </x:c>
      <x:c r="I114" s="24" t="str">
        <x:v>本轮未深审</x:v>
      </x:c>
      <x:c r="J114" s="24" t="str">
        <x:v>PENDING_AI_DEEP_REVIEW</x:v>
      </x:c>
      <x:c r="K114" s="24" t="str">
        <x:v>原始未动</x:v>
      </x:c>
      <x:c r="L114" s="24" t="str">
        <x:v>PENDING</x:v>
      </x:c>
      <x:c r="M114" s="24" t="str"/>
      <x:c r="N114" s="24" t="str"/>
      <x:c r="O114" s="24" t="str"/>
    </x:row>
    <x:row r="115" ht="34" customHeight="1">
      <x:c r="A115" s="24" t="n">
        <x:v>114</x:v>
      </x:c>
      <x:c r="B115" s="24" t="str">
        <x:v>[T155] V14-P0-033</x:v>
      </x:c>
      <x:c r="C115" s="24" t="str">
        <x:v>cbcf5a5d-a88c-4463-b5ec-1aed74e17cce</x:v>
      </x:c>
      <x:c r="D115" s="24" t="str">
        <x:v>读题理解</x:v>
      </x:c>
      <x:c r="E115" s="24" t="str">
        <x:v>2.0</x:v>
      </x:c>
      <x:c r="F115" s="24" t="str">
        <x:v>V2 / place-value</x:v>
      </x:c>
      <x:c r="G115" s="24" t="n">
        <x:v>3</x:v>
      </x:c>
      <x:c r="H115" s="24" t="str">
        <x:v>47</x:v>
      </x:c>
      <x:c r="I115" s="24" t="str">
        <x:v>重点逐题预审</x:v>
      </x:c>
      <x:c r="J115" s="24" t="str">
        <x:v>REVISION_REQUIRED</x:v>
      </x:c>
      <x:c r="K115" s="24" t="str">
        <x:v>原始未动</x:v>
      </x:c>
      <x:c r="L115" s="24" t="str">
        <x:v>PENDING</x:v>
      </x:c>
      <x:c r="M115" s="24" t="str"/>
      <x:c r="N115" s="24" t="str"/>
      <x:c r="O115" s="24" t="str"/>
    </x:row>
    <x:row r="116" ht="34" customHeight="1">
      <x:c r="A116" s="24" t="n">
        <x:v>115</x:v>
      </x:c>
      <x:c r="B116" s="24" t="str">
        <x:v>[T155] V14-P0-093</x:v>
      </x:c>
      <x:c r="C116" s="24" t="str">
        <x:v>fb895a6f-12c0-4d1d-987e-ffab90d31989</x:v>
      </x:c>
      <x:c r="D116" s="24" t="str">
        <x:v>读题理解</x:v>
      </x:c>
      <x:c r="E116" s="24" t="str">
        <x:v>2.0</x:v>
      </x:c>
      <x:c r="F116" s="24" t="str">
        <x:v>V2 / shape-gallery</x:v>
      </x:c>
      <x:c r="G116" s="24" t="n">
        <x:v>3</x:v>
      </x:c>
      <x:c r="H116" s="24" t="str">
        <x:v>2</x:v>
      </x:c>
      <x:c r="I116" s="24" t="str">
        <x:v>重点逐题预审</x:v>
      </x:c>
      <x:c r="J116" s="24" t="str">
        <x:v>REVISION_REQUIRED</x:v>
      </x:c>
      <x:c r="K116" s="24" t="str">
        <x:v>整改新版（旧 86672e3b·shape_name_neutralize）</x:v>
      </x:c>
      <x:c r="L116" s="24" t="str">
        <x:v>PENDING</x:v>
      </x:c>
      <x:c r="M116" s="24" t="str"/>
      <x:c r="N116" s="24" t="str"/>
      <x:c r="O116" s="24" t="str"/>
    </x:row>
    <x:row r="117" ht="34" customHeight="1">
      <x:c r="A117" s="24" t="n">
        <x:v>116</x:v>
      </x:c>
      <x:c r="B117" s="24" t="str">
        <x:v>[T155] V14-P0-039</x:v>
      </x:c>
      <x:c r="C117" s="24" t="str">
        <x:v>e1393f3d-2a02-4eba-b02e-5be1ee9b6a54</x:v>
      </x:c>
      <x:c r="D117" s="24" t="str">
        <x:v>读题理解</x:v>
      </x:c>
      <x:c r="E117" s="24" t="str">
        <x:v>2.0</x:v>
      </x:c>
      <x:c r="F117" s="24" t="str">
        <x:v>V2 / place-value</x:v>
      </x:c>
      <x:c r="G117" s="24" t="n">
        <x:v>4</x:v>
      </x:c>
      <x:c r="H117" s="24" t="str">
        <x:v>58</x:v>
      </x:c>
      <x:c r="I117" s="24" t="str">
        <x:v>重点逐题预审</x:v>
      </x:c>
      <x:c r="J117" s="24" t="str">
        <x:v>REVISION_REQUIRED</x:v>
      </x:c>
      <x:c r="K117" s="24" t="str">
        <x:v>原始未动</x:v>
      </x:c>
      <x:c r="L117" s="24" t="str">
        <x:v>PENDING</x:v>
      </x:c>
      <x:c r="M117" s="24" t="str"/>
      <x:c r="N117" s="24" t="str"/>
      <x:c r="O117" s="24" t="str"/>
    </x:row>
    <x:row r="118" ht="34" customHeight="1">
      <x:c r="A118" s="24" t="n">
        <x:v>117</x:v>
      </x:c>
      <x:c r="B118" s="24" t="str">
        <x:v>[T155] V14-P0-104</x:v>
      </x:c>
      <x:c r="C118" s="24" t="str">
        <x:v>be433fc9-af29-41dc-88c2-7d0a5d110459</x:v>
      </x:c>
      <x:c r="D118" s="24" t="str">
        <x:v>读题理解</x:v>
      </x:c>
      <x:c r="E118" s="24" t="str">
        <x:v>2.0</x:v>
      </x:c>
      <x:c r="F118" s="24" t="str">
        <x:v>V2 / shape-canvas</x:v>
      </x:c>
      <x:c r="G118" s="24" t="n">
        <x:v>4</x:v>
      </x:c>
      <x:c r="H118" s="24" t="str">
        <x:v>4</x:v>
      </x:c>
      <x:c r="I118" s="24" t="str">
        <x:v>重点逐题预审</x:v>
      </x:c>
      <x:c r="J118" s="24" t="str">
        <x:v>REVISION_REQUIRED</x:v>
      </x:c>
      <x:c r="K118" s="24" t="str">
        <x:v>原始未动</x:v>
      </x:c>
      <x:c r="L118" s="24" t="str">
        <x:v>PENDING</x:v>
      </x:c>
      <x:c r="M118" s="24" t="str"/>
      <x:c r="N118" s="24" t="str"/>
      <x:c r="O118" s="24" t="str"/>
    </x:row>
    <x:row r="119" ht="34" customHeight="1">
      <x:c r="A119" s="24" t="n">
        <x:v>118</x:v>
      </x:c>
      <x:c r="B119" s="24" t="str">
        <x:v>[T155] V14-P0-089</x:v>
      </x:c>
      <x:c r="C119" s="24" t="str">
        <x:v>c2050d65-f7e8-4a6a-983e-978712174a84</x:v>
      </x:c>
      <x:c r="D119" s="24" t="str">
        <x:v>读题理解</x:v>
      </x:c>
      <x:c r="E119" s="24" t="str">
        <x:v>2.0</x:v>
      </x:c>
      <x:c r="F119" s="24" t="str">
        <x:v>V2 / shape-gallery</x:v>
      </x:c>
      <x:c r="G119" s="24" t="n">
        <x:v>4</x:v>
      </x:c>
      <x:c r="H119" s="24" t="str">
        <x:v>2</x:v>
      </x:c>
      <x:c r="I119" s="24" t="str">
        <x:v>重点逐题预审</x:v>
      </x:c>
      <x:c r="J119" s="24" t="str">
        <x:v>REVISION_REQUIRED</x:v>
      </x:c>
      <x:c r="K119" s="24" t="str">
        <x:v>整改新版（旧 df5c3a8b·shape_name_neutralize）</x:v>
      </x:c>
      <x:c r="L119" s="24" t="str">
        <x:v>PENDING</x:v>
      </x:c>
      <x:c r="M119" s="24" t="str"/>
      <x:c r="N119" s="24" t="str"/>
      <x:c r="O119" s="24" t="str"/>
    </x:row>
    <x:row r="120" ht="34" customHeight="1">
      <x:c r="A120" s="24" t="n">
        <x:v>119</x:v>
      </x:c>
      <x:c r="B120" s="24" t="str">
        <x:v>[T155] V14-P0-025</x:v>
      </x:c>
      <x:c r="C120" s="24" t="str">
        <x:v>103b0e3f-4287-469c-96ec-6a173e84a4f5</x:v>
      </x:c>
      <x:c r="D120" s="24" t="str">
        <x:v>读题理解</x:v>
      </x:c>
      <x:c r="E120" s="24" t="str">
        <x:v>2.0</x:v>
      </x:c>
      <x:c r="F120" s="24" t="str">
        <x:v>V2 / number-input</x:v>
      </x:c>
      <x:c r="G120" s="24" t="n">
        <x:v>5</x:v>
      </x:c>
      <x:c r="H120" s="24" t="str">
        <x:v>7</x:v>
      </x:c>
      <x:c r="I120" s="24" t="str">
        <x:v>重点逐题预审</x:v>
      </x:c>
      <x:c r="J120" s="24" t="str">
        <x:v>REVISION_REQUIRED</x:v>
      </x:c>
      <x:c r="K120" s="24" t="str">
        <x:v>原始未动</x:v>
      </x:c>
      <x:c r="L120" s="24" t="str">
        <x:v>PENDING</x:v>
      </x:c>
      <x:c r="M120" s="24" t="str"/>
      <x:c r="N120" s="24" t="str"/>
      <x:c r="O120" s="24" t="str"/>
    </x:row>
    <x:row r="121" ht="34" customHeight="1">
      <x:c r="A121" s="24" t="n">
        <x:v>120</x:v>
      </x:c>
      <x:c r="B121" s="24" t="str">
        <x:v>[T155] V14-P0-035</x:v>
      </x:c>
      <x:c r="C121" s="24" t="str">
        <x:v>11aca9c8-067a-48e6-945e-959a20ce83f5</x:v>
      </x:c>
      <x:c r="D121" s="24" t="str">
        <x:v>读题理解</x:v>
      </x:c>
      <x:c r="E121" s="24" t="str">
        <x:v>2.0</x:v>
      </x:c>
      <x:c r="F121" s="24" t="str">
        <x:v>V2 / place-value</x:v>
      </x:c>
      <x:c r="G121" s="24" t="n">
        <x:v>5</x:v>
      </x:c>
      <x:c r="H121" s="24" t="str">
        <x:v>80</x:v>
      </x:c>
      <x:c r="I121" s="24" t="str">
        <x:v>重点逐题预审</x:v>
      </x:c>
      <x:c r="J121" s="24" t="str">
        <x:v>REVISION_REQUIRED</x:v>
      </x:c>
      <x:c r="K121" s="24" t="str">
        <x:v>原始未动</x:v>
      </x:c>
      <x:c r="L121" s="24" t="str">
        <x:v>PENDING</x:v>
      </x:c>
      <x:c r="M121" s="24" t="str"/>
      <x:c r="N121" s="24" t="str"/>
      <x:c r="O121" s="24" t="str"/>
    </x:row>
    <x:row r="122" ht="34" customHeight="1">
      <x:c r="A122" s="24" t="n">
        <x:v>121</x:v>
      </x:c>
      <x:c r="B122" s="24" t="str">
        <x:v>[T155] V14-P0-100</x:v>
      </x:c>
      <x:c r="C122" s="24" t="str">
        <x:v>a21d4278-9780-453c-a510-08ce184f764e</x:v>
      </x:c>
      <x:c r="D122" s="24" t="str">
        <x:v>读题理解</x:v>
      </x:c>
      <x:c r="E122" s="24" t="str">
        <x:v>2.0</x:v>
      </x:c>
      <x:c r="F122" s="24" t="str">
        <x:v>V2 / shape-canvas</x:v>
      </x:c>
      <x:c r="G122" s="24" t="n">
        <x:v>5</x:v>
      </x:c>
      <x:c r="H122" s="24" t="str">
        <x:v>8</x:v>
      </x:c>
      <x:c r="I122" s="24" t="str">
        <x:v>重点逐题预审</x:v>
      </x:c>
      <x:c r="J122" s="24" t="str">
        <x:v>REVISION_REQUIRED</x:v>
      </x:c>
      <x:c r="K122" s="24" t="str">
        <x:v>原始未动</x:v>
      </x:c>
      <x:c r="L122" s="24" t="str">
        <x:v>PENDING</x:v>
      </x:c>
      <x:c r="M122" s="24" t="str"/>
      <x:c r="N122" s="24" t="str"/>
      <x:c r="O122" s="24" t="str"/>
    </x:row>
    <x:row r="123" ht="34" customHeight="1">
      <x:c r="A123" s="24" t="n">
        <x:v>122</x:v>
      </x:c>
      <x:c r="B123" s="24" t="str">
        <x:v>[T155] V14-P0-095</x:v>
      </x:c>
      <x:c r="C123" s="24" t="str">
        <x:v>e3c2ebe4-57eb-4811-8b5f-80b67aa199dd</x:v>
      </x:c>
      <x:c r="D123" s="24" t="str">
        <x:v>读题理解</x:v>
      </x:c>
      <x:c r="E123" s="24" t="str">
        <x:v>2.0</x:v>
      </x:c>
      <x:c r="F123" s="24" t="str">
        <x:v>V2 / shape-gallery</x:v>
      </x:c>
      <x:c r="G123" s="24" t="n">
        <x:v>5</x:v>
      </x:c>
      <x:c r="H123" s="24" t="str">
        <x:v>1</x:v>
      </x:c>
      <x:c r="I123" s="24" t="str">
        <x:v>重点逐题预审</x:v>
      </x:c>
      <x:c r="J123" s="24" t="str">
        <x:v>REVISION_REQUIRED</x:v>
      </x:c>
      <x:c r="K123" s="24" t="str">
        <x:v>整改新版（旧 7a168c3c·shape_name_neutralize）</x:v>
      </x:c>
      <x:c r="L123" s="24" t="str">
        <x:v>PENDING</x:v>
      </x:c>
      <x:c r="M123" s="24" t="str"/>
      <x:c r="N123" s="24" t="str"/>
      <x:c r="O123" s="24" t="str"/>
    </x:row>
    <x:row r="124" ht="34" customHeight="1">
      <x:c r="A124" s="24" t="n">
        <x:v>123</x:v>
      </x:c>
      <x:c r="B124" s="24" t="str">
        <x:v>还剩多少块</x:v>
      </x:c>
      <x:c r="C124" s="24" t="str">
        <x:v>0c494f3e-6ff1-4bf6-bff1-fb4163591289</x:v>
      </x:c>
      <x:c r="D124" s="24" t="str">
        <x:v>数量关系</x:v>
      </x:c>
      <x:c r="E124" s="24" t="str">
        <x:v>1.0</x:v>
      </x:c>
      <x:c r="F124" s="24" t="str">
        <x:v>V1 / number-line</x:v>
      </x:c>
      <x:c r="G124" s="24" t="n">
        <x:v>1</x:v>
      </x:c>
      <x:c r="H124" s="24" t="str">
        <x:v>6</x:v>
      </x:c>
      <x:c r="I124" s="24" t="str">
        <x:v>本轮未深审</x:v>
      </x:c>
      <x:c r="J124" s="24" t="str">
        <x:v>PENDING_AI_DEEP_REVIEW</x:v>
      </x:c>
      <x:c r="K124" s="24" t="str">
        <x:v>原始未动</x:v>
      </x:c>
      <x:c r="L124" s="24" t="str">
        <x:v>PENDING</x:v>
      </x:c>
      <x:c r="M124" s="24" t="str"/>
      <x:c r="N124" s="24" t="str"/>
      <x:c r="O124" s="24" t="str"/>
    </x:row>
    <x:row r="125" ht="34" customHeight="1">
      <x:c r="A125" s="24" t="n">
        <x:v>124</x:v>
      </x:c>
      <x:c r="B125" s="24" t="str">
        <x:v>合起来有多少</x:v>
      </x:c>
      <x:c r="C125" s="24" t="str">
        <x:v>6fad3a13-7c57-4a78-91ba-cf7e68e68f8b</x:v>
      </x:c>
      <x:c r="D125" s="24" t="str">
        <x:v>数量关系</x:v>
      </x:c>
      <x:c r="E125" s="24" t="str">
        <x:v>1.0</x:v>
      </x:c>
      <x:c r="F125" s="24" t="str">
        <x:v>V1 / objects</x:v>
      </x:c>
      <x:c r="G125" s="24" t="n">
        <x:v>1</x:v>
      </x:c>
      <x:c r="H125" s="24" t="str">
        <x:v>7</x:v>
      </x:c>
      <x:c r="I125" s="24" t="str">
        <x:v>本轮未深审</x:v>
      </x:c>
      <x:c r="J125" s="24" t="str">
        <x:v>PENDING_AI_DEEP_REVIEW</x:v>
      </x:c>
      <x:c r="K125" s="24" t="str">
        <x:v>原始未动</x:v>
      </x:c>
      <x:c r="L125" s="24" t="str">
        <x:v>PENDING</x:v>
      </x:c>
      <x:c r="M125" s="24" t="str"/>
      <x:c r="N125" s="24" t="str"/>
      <x:c r="O125" s="24" t="str"/>
    </x:row>
    <x:row r="126" ht="34" customHeight="1">
      <x:c r="A126" s="24" t="n">
        <x:v>125</x:v>
      </x:c>
      <x:c r="B126" s="24" t="str">
        <x:v>谁多几个</x:v>
      </x:c>
      <x:c r="C126" s="24" t="str">
        <x:v>eaa828b3-a633-4ab6-9cf5-8025a3687899</x:v>
      </x:c>
      <x:c r="D126" s="24" t="str">
        <x:v>数量关系</x:v>
      </x:c>
      <x:c r="E126" s="24" t="str">
        <x:v>1.0</x:v>
      </x:c>
      <x:c r="F126" s="24" t="str">
        <x:v>V1 / objects</x:v>
      </x:c>
      <x:c r="G126" s="24" t="n">
        <x:v>1</x:v>
      </x:c>
      <x:c r="H126" s="24" t="str">
        <x:v>3</x:v>
      </x:c>
      <x:c r="I126" s="24" t="str">
        <x:v>本轮未深审</x:v>
      </x:c>
      <x:c r="J126" s="24" t="str">
        <x:v>PENDING_AI_DEEP_REVIEW</x:v>
      </x:c>
      <x:c r="K126" s="24" t="str">
        <x:v>原始未动</x:v>
      </x:c>
      <x:c r="L126" s="24" t="str">
        <x:v>PENDING</x:v>
      </x:c>
      <x:c r="M126" s="24" t="str"/>
      <x:c r="N126" s="24" t="str"/>
      <x:c r="O126" s="24" t="str"/>
    </x:row>
    <x:row r="127" ht="34" customHeight="1">
      <x:c r="A127" s="24" t="n">
        <x:v>126</x:v>
      </x:c>
      <x:c r="B127" s="24" t="str">
        <x:v>又来了几只</x:v>
      </x:c>
      <x:c r="C127" s="24" t="str">
        <x:v>a7719043-6358-48c6-8c01-c9b3b94c122f</x:v>
      </x:c>
      <x:c r="D127" s="24" t="str">
        <x:v>数量关系</x:v>
      </x:c>
      <x:c r="E127" s="24" t="str">
        <x:v>1.0</x:v>
      </x:c>
      <x:c r="F127" s="24" t="str">
        <x:v>V1 / number-line</x:v>
      </x:c>
      <x:c r="G127" s="24" t="n">
        <x:v>1</x:v>
      </x:c>
      <x:c r="H127" s="24" t="str">
        <x:v>8</x:v>
      </x:c>
      <x:c r="I127" s="24" t="str">
        <x:v>本轮未深审</x:v>
      </x:c>
      <x:c r="J127" s="24" t="str">
        <x:v>PENDING_AI_DEEP_REVIEW</x:v>
      </x:c>
      <x:c r="K127" s="24" t="str">
        <x:v>原始未动</x:v>
      </x:c>
      <x:c r="L127" s="24" t="str">
        <x:v>PENDING</x:v>
      </x:c>
      <x:c r="M127" s="24" t="str"/>
      <x:c r="N127" s="24" t="str"/>
      <x:c r="O127" s="24" t="str"/>
    </x:row>
    <x:row r="128" ht="34" customHeight="1">
      <x:c r="A128" s="24" t="n">
        <x:v>127</x:v>
      </x:c>
      <x:c r="B128" s="24" t="str">
        <x:v>气球合起来（V2 链 R01）</x:v>
      </x:c>
      <x:c r="C128" s="24" t="str">
        <x:v>77b35d05-f75d-48a6-a01a-fc681c69b455</x:v>
      </x:c>
      <x:c r="D128" s="24" t="str">
        <x:v>数量关系</x:v>
      </x:c>
      <x:c r="E128" s="24" t="str">
        <x:v>2.0</x:v>
      </x:c>
      <x:c r="F128" s="24" t="str">
        <x:v>V2 / object-counter</x:v>
      </x:c>
      <x:c r="G128" s="24" t="n">
        <x:v>1</x:v>
      </x:c>
      <x:c r="H128" s="24" t="str">
        <x:v>7</x:v>
      </x:c>
      <x:c r="I128" s="24" t="str">
        <x:v>本轮未深审</x:v>
      </x:c>
      <x:c r="J128" s="24" t="str">
        <x:v>PENDING_AI_DEEP_REVIEW</x:v>
      </x:c>
      <x:c r="K128" s="24" t="str">
        <x:v>原始未动</x:v>
      </x:c>
      <x:c r="L128" s="24" t="str">
        <x:v>PENDING</x:v>
      </x:c>
      <x:c r="M128" s="24" t="str"/>
      <x:c r="N128" s="24" t="str"/>
      <x:c r="O128" s="24" t="str"/>
    </x:row>
    <x:row r="129" ht="34" customHeight="1">
      <x:c r="A129" s="24" t="n">
        <x:v>128</x:v>
      </x:c>
      <x:c r="B129" s="24" t="str">
        <x:v>还剩几只鸟（V2 链 R04）</x:v>
      </x:c>
      <x:c r="C129" s="24" t="str">
        <x:v>e0d22830-7ce7-4581-b1cd-db9ba2f3a8c5</x:v>
      </x:c>
      <x:c r="D129" s="24" t="str">
        <x:v>数量关系</x:v>
      </x:c>
      <x:c r="E129" s="24" t="str">
        <x:v>2.0</x:v>
      </x:c>
      <x:c r="F129" s="24" t="str">
        <x:v>V2 / number-input</x:v>
      </x:c>
      <x:c r="G129" s="24" t="n">
        <x:v>1</x:v>
      </x:c>
      <x:c r="H129" s="24" t="str">
        <x:v>5</x:v>
      </x:c>
      <x:c r="I129" s="24" t="str">
        <x:v>本轮未深审</x:v>
      </x:c>
      <x:c r="J129" s="24" t="str">
        <x:v>PENDING_AI_DEEP_REVIEW</x:v>
      </x:c>
      <x:c r="K129" s="24" t="str">
        <x:v>原始未动</x:v>
      </x:c>
      <x:c r="L129" s="24" t="str">
        <x:v>PENDING</x:v>
      </x:c>
      <x:c r="M129" s="24" t="str"/>
      <x:c r="N129" s="24" t="str"/>
      <x:c r="O129" s="24" t="str"/>
    </x:row>
    <x:row r="130" ht="34" customHeight="1">
      <x:c r="A130" s="24" t="n">
        <x:v>129</x:v>
      </x:c>
      <x:c r="B130" s="24" t="str">
        <x:v>花边接着摆</x:v>
      </x:c>
      <x:c r="C130" s="24" t="str">
        <x:v>1723d78a-44c9-419d-82d4-7a9f6a48520a</x:v>
      </x:c>
      <x:c r="D130" s="24" t="str">
        <x:v>数量关系</x:v>
      </x:c>
      <x:c r="E130" s="24" t="str">
        <x:v>2.0</x:v>
      </x:c>
      <x:c r="F130" s="24" t="str">
        <x:v>V2 / pattern-board</x:v>
      </x:c>
      <x:c r="G130" s="24" t="n">
        <x:v>1</x:v>
      </x:c>
      <x:c r="H130" s="24" t="str">
        <x:v>12</x:v>
      </x:c>
      <x:c r="I130" s="24" t="str">
        <x:v>重点逐题预审</x:v>
      </x:c>
      <x:c r="J130" s="24" t="str">
        <x:v>APPROVED_CANDIDATE</x:v>
      </x:c>
      <x:c r="K130" s="24" t="str">
        <x:v>原始未动</x:v>
      </x:c>
      <x:c r="L130" s="24" t="str">
        <x:v>PENDING</x:v>
      </x:c>
      <x:c r="M130" s="24" t="str"/>
      <x:c r="N130" s="24" t="str"/>
      <x:c r="O130" s="24" t="str"/>
    </x:row>
    <x:row r="131" ht="34" customHeight="1">
      <x:c r="A131" s="24" t="n">
        <x:v>130</x:v>
      </x:c>
      <x:c r="B131" s="24" t="str">
        <x:v>[T155] V14-P0-016</x:v>
      </x:c>
      <x:c r="C131" s="24" t="str">
        <x:v>5341fef6-3901-404d-accd-eb136cb99779</x:v>
      </x:c>
      <x:c r="D131" s="24" t="str">
        <x:v>数量关系</x:v>
      </x:c>
      <x:c r="E131" s="24" t="str">
        <x:v>2.0</x:v>
      </x:c>
      <x:c r="F131" s="24" t="str">
        <x:v>V2 / bar-model</x:v>
      </x:c>
      <x:c r="G131" s="24" t="n">
        <x:v>1</x:v>
      </x:c>
      <x:c r="H131" s="24" t="str">
        <x:v>18</x:v>
      </x:c>
      <x:c r="I131" s="24" t="str">
        <x:v>本轮未深审</x:v>
      </x:c>
      <x:c r="J131" s="24" t="str">
        <x:v>PENDING_AI_DEEP_REVIEW</x:v>
      </x:c>
      <x:c r="K131" s="24" t="str">
        <x:v>原始未动</x:v>
      </x:c>
      <x:c r="L131" s="24" t="str">
        <x:v>PENDING</x:v>
      </x:c>
      <x:c r="M131" s="24" t="str"/>
      <x:c r="N131" s="24" t="str"/>
      <x:c r="O131" s="24" t="str"/>
    </x:row>
    <x:row r="132" ht="34" customHeight="1">
      <x:c r="A132" s="24" t="n">
        <x:v>131</x:v>
      </x:c>
      <x:c r="B132" s="24" t="str">
        <x:v>[T155] V14-P0-011</x:v>
      </x:c>
      <x:c r="C132" s="24" t="str">
        <x:v>39b09e38-1abd-403d-ba6b-b3854c7a1abb</x:v>
      </x:c>
      <x:c r="D132" s="24" t="str">
        <x:v>数量关系</x:v>
      </x:c>
      <x:c r="E132" s="24" t="str">
        <x:v>2.0</x:v>
      </x:c>
      <x:c r="F132" s="24" t="str">
        <x:v>V2 / bar-model</x:v>
      </x:c>
      <x:c r="G132" s="24" t="n">
        <x:v>1</x:v>
      </x:c>
      <x:c r="H132" s="24" t="str">
        <x:v>13</x:v>
      </x:c>
      <x:c r="I132" s="24" t="str">
        <x:v>本轮未深审</x:v>
      </x:c>
      <x:c r="J132" s="24" t="str">
        <x:v>PENDING_AI_DEEP_REVIEW</x:v>
      </x:c>
      <x:c r="K132" s="24" t="str">
        <x:v>原始未动</x:v>
      </x:c>
      <x:c r="L132" s="24" t="str">
        <x:v>PENDING</x:v>
      </x:c>
      <x:c r="M132" s="24" t="str"/>
      <x:c r="N132" s="24" t="str"/>
      <x:c r="O132" s="24" t="str"/>
    </x:row>
    <x:row r="133" ht="34" customHeight="1">
      <x:c r="A133" s="24" t="n">
        <x:v>132</x:v>
      </x:c>
      <x:c r="B133" s="24" t="str">
        <x:v>[T155] V14-P0-031</x:v>
      </x:c>
      <x:c r="C133" s="24" t="str">
        <x:v>05bdeefe-f986-4106-aed6-0abf982bf4dc</x:v>
      </x:c>
      <x:c r="D133" s="24" t="str">
        <x:v>数量关系</x:v>
      </x:c>
      <x:c r="E133" s="24" t="str">
        <x:v>2.0</x:v>
      </x:c>
      <x:c r="F133" s="24" t="str">
        <x:v>V2 / number-input</x:v>
      </x:c>
      <x:c r="G133" s="24" t="n">
        <x:v>1</x:v>
      </x:c>
      <x:c r="H133" s="24" t="str">
        <x:v>17</x:v>
      </x:c>
      <x:c r="I133" s="24" t="str">
        <x:v>本轮未深审</x:v>
      </x:c>
      <x:c r="J133" s="24" t="str">
        <x:v>PENDING_AI_DEEP_REVIEW</x:v>
      </x:c>
      <x:c r="K133" s="24" t="str">
        <x:v>原始未动</x:v>
      </x:c>
      <x:c r="L133" s="24" t="str">
        <x:v>PENDING</x:v>
      </x:c>
      <x:c r="M133" s="24" t="str"/>
      <x:c r="N133" s="24" t="str"/>
      <x:c r="O133" s="24" t="str"/>
    </x:row>
    <x:row r="134" ht="34" customHeight="1">
      <x:c r="A134" s="24" t="n">
        <x:v>133</x:v>
      </x:c>
      <x:c r="B134" s="24" t="str">
        <x:v>[T155] V14-P0-051</x:v>
      </x:c>
      <x:c r="C134" s="24" t="str">
        <x:v>39ce2243-24f7-4901-98e2-4894a0c36d27</x:v>
      </x:c>
      <x:c r="D134" s="24" t="str">
        <x:v>数量关系</x:v>
      </x:c>
      <x:c r="E134" s="24" t="str">
        <x:v>2.0</x:v>
      </x:c>
      <x:c r="F134" s="24" t="str">
        <x:v>V2 / column-arithmetic</x:v>
      </x:c>
      <x:c r="G134" s="24" t="n">
        <x:v>1</x:v>
      </x:c>
      <x:c r="H134" s="24" t="str">
        <x:v>27</x:v>
      </x:c>
      <x:c r="I134" s="24" t="str">
        <x:v>本轮未深审</x:v>
      </x:c>
      <x:c r="J134" s="24" t="str">
        <x:v>PENDING_AI_DEEP_REVIEW</x:v>
      </x:c>
      <x:c r="K134" s="24" t="str">
        <x:v>原始未动</x:v>
      </x:c>
      <x:c r="L134" s="24" t="str">
        <x:v>PENDING</x:v>
      </x:c>
      <x:c r="M134" s="24" t="str"/>
      <x:c r="N134" s="24" t="str"/>
      <x:c r="O134" s="24" t="str"/>
    </x:row>
    <x:row r="135" ht="34" customHeight="1">
      <x:c r="A135" s="24" t="n">
        <x:v>134</x:v>
      </x:c>
      <x:c r="B135" s="24" t="str">
        <x:v>[T155] V14-P0-056</x:v>
      </x:c>
      <x:c r="C135" s="24" t="str">
        <x:v>1b3c314e-64c7-493b-98fa-bedbac6b51a6</x:v>
      </x:c>
      <x:c r="D135" s="24" t="str">
        <x:v>数量关系</x:v>
      </x:c>
      <x:c r="E135" s="24" t="str">
        <x:v>2.0</x:v>
      </x:c>
      <x:c r="F135" s="24" t="str">
        <x:v>V2 / column-arithmetic</x:v>
      </x:c>
      <x:c r="G135" s="24" t="n">
        <x:v>1</x:v>
      </x:c>
      <x:c r="H135" s="24" t="str">
        <x:v>63</x:v>
      </x:c>
      <x:c r="I135" s="24" t="str">
        <x:v>本轮未深审</x:v>
      </x:c>
      <x:c r="J135" s="24" t="str">
        <x:v>PENDING_AI_DEEP_REVIEW</x:v>
      </x:c>
      <x:c r="K135" s="24" t="str">
        <x:v>原始未动</x:v>
      </x:c>
      <x:c r="L135" s="24" t="str">
        <x:v>PENDING</x:v>
      </x:c>
      <x:c r="M135" s="24" t="str"/>
      <x:c r="N135" s="24" t="str"/>
      <x:c r="O135" s="24" t="str"/>
    </x:row>
    <x:row r="136" ht="34" customHeight="1">
      <x:c r="A136" s="24" t="n">
        <x:v>135</x:v>
      </x:c>
      <x:c r="B136" s="24" t="str">
        <x:v>[T155] V14-P0-061</x:v>
      </x:c>
      <x:c r="C136" s="24" t="str">
        <x:v>50c5f606-8cea-4076-a08e-d1d6f21c9a74</x:v>
      </x:c>
      <x:c r="D136" s="24" t="str">
        <x:v>数量关系</x:v>
      </x:c>
      <x:c r="E136" s="24" t="str">
        <x:v>2.0</x:v>
      </x:c>
      <x:c r="F136" s="24" t="str">
        <x:v>V2 / array-board</x:v>
      </x:c>
      <x:c r="G136" s="24" t="n">
        <x:v>1</x:v>
      </x:c>
      <x:c r="H136" s="24" t="str">
        <x:v>21</x:v>
      </x:c>
      <x:c r="I136" s="24" t="str">
        <x:v>本轮未深审</x:v>
      </x:c>
      <x:c r="J136" s="24" t="str">
        <x:v>PENDING_AI_DEEP_REVIEW</x:v>
      </x:c>
      <x:c r="K136" s="24" t="str">
        <x:v>原始未动</x:v>
      </x:c>
      <x:c r="L136" s="24" t="str">
        <x:v>PENDING</x:v>
      </x:c>
      <x:c r="M136" s="24" t="str"/>
      <x:c r="N136" s="24" t="str"/>
      <x:c r="O136" s="24" t="str"/>
    </x:row>
    <x:row r="137" ht="34" customHeight="1">
      <x:c r="A137" s="24" t="n">
        <x:v>136</x:v>
      </x:c>
      <x:c r="B137" s="24" t="str">
        <x:v>[T155] V14-P0-066</x:v>
      </x:c>
      <x:c r="C137" s="24" t="str">
        <x:v>0d7ae14e-26c3-4413-a610-2c036dc16a92</x:v>
      </x:c>
      <x:c r="D137" s="24" t="str">
        <x:v>数量关系</x:v>
      </x:c>
      <x:c r="E137" s="24" t="str">
        <x:v>2.0</x:v>
      </x:c>
      <x:c r="F137" s="24" t="str">
        <x:v>V2 / grouping-board</x:v>
      </x:c>
      <x:c r="G137" s="24" t="n">
        <x:v>1</x:v>
      </x:c>
      <x:c r="H137" s="24" t="str">
        <x:v>5</x:v>
      </x:c>
      <x:c r="I137" s="24" t="str">
        <x:v>本轮未深审</x:v>
      </x:c>
      <x:c r="J137" s="24" t="str">
        <x:v>PENDING_AI_DEEP_REVIEW</x:v>
      </x:c>
      <x:c r="K137" s="24" t="str">
        <x:v>原始未动</x:v>
      </x:c>
      <x:c r="L137" s="24" t="str">
        <x:v>PENDING</x:v>
      </x:c>
      <x:c r="M137" s="24" t="str"/>
      <x:c r="N137" s="24" t="str"/>
      <x:c r="O137" s="24" t="str"/>
    </x:row>
    <x:row r="138" ht="34" customHeight="1">
      <x:c r="A138" s="24" t="n">
        <x:v>137</x:v>
      </x:c>
      <x:c r="B138" s="24" t="str">
        <x:v>[T155] V14-P0-071</x:v>
      </x:c>
      <x:c r="C138" s="24" t="str">
        <x:v>a64e20ce-f7ad-41a9-9a54-43d18aeeaa13</x:v>
      </x:c>
      <x:c r="D138" s="24" t="str">
        <x:v>数量关系</x:v>
      </x:c>
      <x:c r="E138" s="24" t="str">
        <x:v>2.0</x:v>
      </x:c>
      <x:c r="F138" s="24" t="str">
        <x:v>V2 / grouping-board</x:v>
      </x:c>
      <x:c r="G138" s="24" t="n">
        <x:v>1</x:v>
      </x:c>
      <x:c r="H138" s="24" t="str">
        <x:v>6</x:v>
      </x:c>
      <x:c r="I138" s="24" t="str">
        <x:v>本轮未深审</x:v>
      </x:c>
      <x:c r="J138" s="24" t="str">
        <x:v>PENDING_AI_DEEP_REVIEW</x:v>
      </x:c>
      <x:c r="K138" s="24" t="str">
        <x:v>原始未动</x:v>
      </x:c>
      <x:c r="L138" s="24" t="str">
        <x:v>PENDING</x:v>
      </x:c>
      <x:c r="M138" s="24" t="str"/>
      <x:c r="N138" s="24" t="str"/>
      <x:c r="O138" s="24" t="str"/>
    </x:row>
    <x:row r="139" ht="34" customHeight="1">
      <x:c r="A139" s="24" t="n">
        <x:v>138</x:v>
      </x:c>
      <x:c r="B139" s="24" t="str">
        <x:v>[T155] V14-P0-076</x:v>
      </x:c>
      <x:c r="C139" s="24" t="str">
        <x:v>be62dc68-4563-4904-9114-c8ae0848a553</x:v>
      </x:c>
      <x:c r="D139" s="24" t="str">
        <x:v>数量关系</x:v>
      </x:c>
      <x:c r="E139" s="24" t="str">
        <x:v>2.0</x:v>
      </x:c>
      <x:c r="F139" s="24" t="str">
        <x:v>V2 / formula-board</x:v>
      </x:c>
      <x:c r="G139" s="24" t="n">
        <x:v>1</x:v>
      </x:c>
      <x:c r="H139" s="24" t="str">
        <x:v>13</x:v>
      </x:c>
      <x:c r="I139" s="24" t="str">
        <x:v>本轮未深审</x:v>
      </x:c>
      <x:c r="J139" s="24" t="str">
        <x:v>PENDING_AI_DEEP_REVIEW</x:v>
      </x:c>
      <x:c r="K139" s="24" t="str">
        <x:v>原始未动</x:v>
      </x:c>
      <x:c r="L139" s="24" t="str">
        <x:v>PENDING</x:v>
      </x:c>
      <x:c r="M139" s="24" t="str"/>
      <x:c r="N139" s="24" t="str"/>
      <x:c r="O139" s="24" t="str"/>
    </x:row>
    <x:row r="140" ht="34" customHeight="1">
      <x:c r="A140" s="24" t="n">
        <x:v>139</x:v>
      </x:c>
      <x:c r="B140" s="24" t="str">
        <x:v>[T155] V14-P0-136</x:v>
      </x:c>
      <x:c r="C140" s="24" t="str">
        <x:v>1c7e9b49-c8ac-4937-a5d1-5caf624160f6</x:v>
      </x:c>
      <x:c r="D140" s="24" t="str">
        <x:v>数量关系</x:v>
      </x:c>
      <x:c r="E140" s="24" t="str">
        <x:v>2.0</x:v>
      </x:c>
      <x:c r="F140" s="24" t="str">
        <x:v>V2 / clock</x:v>
      </x:c>
      <x:c r="G140" s="24" t="n">
        <x:v>1</x:v>
      </x:c>
      <x:c r="H140" s="24" t="str">
        <x:v>600</x:v>
      </x:c>
      <x:c r="I140" s="24" t="str">
        <x:v>本轮未深审</x:v>
      </x:c>
      <x:c r="J140" s="24" t="str">
        <x:v>PENDING_AI_DEEP_REVIEW</x:v>
      </x:c>
      <x:c r="K140" s="24" t="str">
        <x:v>原始未动</x:v>
      </x:c>
      <x:c r="L140" s="24" t="str">
        <x:v>PENDING</x:v>
      </x:c>
      <x:c r="M140" s="24" t="str"/>
      <x:c r="N140" s="24" t="str"/>
      <x:c r="O140" s="24" t="str"/>
    </x:row>
    <x:row r="141" ht="34" customHeight="1">
      <x:c r="A141" s="24" t="n">
        <x:v>140</x:v>
      </x:c>
      <x:c r="B141" s="24" t="str">
        <x:v>知道多的找少的</x:v>
      </x:c>
      <x:c r="C141" s="24" t="str">
        <x:v>3ea61fc9-850f-4b59-987d-1a58fe00087f</x:v>
      </x:c>
      <x:c r="D141" s="24" t="str">
        <x:v>数量关系</x:v>
      </x:c>
      <x:c r="E141" s="24" t="str">
        <x:v>1.0</x:v>
      </x:c>
      <x:c r="F141" s="24" t="str">
        <x:v>V1 / bar-model</x:v>
      </x:c>
      <x:c r="G141" s="24" t="n">
        <x:v>2</x:v>
      </x:c>
      <x:c r="H141" s="24" t="str">
        <x:v>8</x:v>
      </x:c>
      <x:c r="I141" s="24" t="str">
        <x:v>本轮未深审</x:v>
      </x:c>
      <x:c r="J141" s="24" t="str">
        <x:v>PENDING_AI_DEEP_REVIEW</x:v>
      </x:c>
      <x:c r="K141" s="24" t="str">
        <x:v>原始未动</x:v>
      </x:c>
      <x:c r="L141" s="24" t="str">
        <x:v>PENDING</x:v>
      </x:c>
      <x:c r="M141" s="24" t="str"/>
      <x:c r="N141" s="24" t="str"/>
      <x:c r="O141" s="24" t="str"/>
    </x:row>
    <x:row r="142" ht="34" customHeight="1">
      <x:c r="A142" s="24" t="n">
        <x:v>141</x:v>
      </x:c>
      <x:c r="B142" s="24" t="str">
        <x:v>两盒一样多</x:v>
      </x:c>
      <x:c r="C142" s="24" t="str">
        <x:v>f311e9ec-8049-4946-ae01-baa0ac6a618b</x:v>
      </x:c>
      <x:c r="D142" s="24" t="str">
        <x:v>数量关系</x:v>
      </x:c>
      <x:c r="E142" s="24" t="str">
        <x:v>1.0</x:v>
      </x:c>
      <x:c r="F142" s="24" t="str">
        <x:v>V1 / objects</x:v>
      </x:c>
      <x:c r="G142" s="24" t="n">
        <x:v>2</x:v>
      </x:c>
      <x:c r="H142" s="24" t="str">
        <x:v>12</x:v>
      </x:c>
      <x:c r="I142" s="24" t="str">
        <x:v>本轮未深审</x:v>
      </x:c>
      <x:c r="J142" s="24" t="str">
        <x:v>PENDING_AI_DEEP_REVIEW</x:v>
      </x:c>
      <x:c r="K142" s="24" t="str">
        <x:v>原始未动</x:v>
      </x:c>
      <x:c r="L142" s="24" t="str">
        <x:v>PENDING</x:v>
      </x:c>
      <x:c r="M142" s="24" t="str"/>
      <x:c r="N142" s="24" t="str"/>
      <x:c r="O142" s="24" t="str"/>
    </x:row>
    <x:row r="143" ht="34" customHeight="1">
      <x:c r="A143" s="24" t="n">
        <x:v>142</x:v>
      </x:c>
      <x:c r="B143" s="24" t="str">
        <x:v>比我多后的数量</x:v>
      </x:c>
      <x:c r="C143" s="24" t="str">
        <x:v>e5c13ef5-daa1-46c4-a545-a40f38ba1e79</x:v>
      </x:c>
      <x:c r="D143" s="24" t="str">
        <x:v>数量关系</x:v>
      </x:c>
      <x:c r="E143" s="24" t="str">
        <x:v>1.0</x:v>
      </x:c>
      <x:c r="F143" s="24" t="str">
        <x:v>V1 / bar-model</x:v>
      </x:c>
      <x:c r="G143" s="24" t="n">
        <x:v>2</x:v>
      </x:c>
      <x:c r="H143" s="24" t="str">
        <x:v>11</x:v>
      </x:c>
      <x:c r="I143" s="24" t="str">
        <x:v>本轮未深审</x:v>
      </x:c>
      <x:c r="J143" s="24" t="str">
        <x:v>PENDING_AI_DEEP_REVIEW</x:v>
      </x:c>
      <x:c r="K143" s="24" t="str">
        <x:v>原始未动</x:v>
      </x:c>
      <x:c r="L143" s="24" t="str">
        <x:v>PENDING</x:v>
      </x:c>
      <x:c r="M143" s="24" t="str"/>
      <x:c r="N143" s="24" t="str"/>
      <x:c r="O143" s="24" t="str"/>
    </x:row>
    <x:row r="144" ht="34" customHeight="1">
      <x:c r="A144" s="24" t="n">
        <x:v>143</x:v>
      </x:c>
      <x:c r="B144" s="24" t="str">
        <x:v>另一部分是多少</x:v>
      </x:c>
      <x:c r="C144" s="24" t="str">
        <x:v>e6f17364-8a93-4101-8b5e-1a4d34d0f3b5</x:v>
      </x:c>
      <x:c r="D144" s="24" t="str">
        <x:v>数量关系</x:v>
      </x:c>
      <x:c r="E144" s="24" t="str">
        <x:v>1.0</x:v>
      </x:c>
      <x:c r="F144" s="24" t="str">
        <x:v>V1 / bar-model</x:v>
      </x:c>
      <x:c r="G144" s="24" t="n">
        <x:v>2</x:v>
      </x:c>
      <x:c r="H144" s="24" t="str">
        <x:v>7</x:v>
      </x:c>
      <x:c r="I144" s="24" t="str">
        <x:v>本轮未深审</x:v>
      </x:c>
      <x:c r="J144" s="24" t="str">
        <x:v>PENDING_AI_DEEP_REVIEW</x:v>
      </x:c>
      <x:c r="K144" s="24" t="str">
        <x:v>原始未动</x:v>
      </x:c>
      <x:c r="L144" s="24" t="str">
        <x:v>PENDING</x:v>
      </x:c>
      <x:c r="M144" s="24" t="str"/>
      <x:c r="N144" s="24" t="str"/>
      <x:c r="O144" s="24" t="str"/>
    </x:row>
    <x:row r="145" ht="34" customHeight="1">
      <x:c r="A145" s="24" t="n">
        <x:v>144</x:v>
      </x:c>
      <x:c r="B145" s="24" t="str">
        <x:v>把糖果装进袋（V2 链 R07）</x:v>
      </x:c>
      <x:c r="C145" s="24" t="str">
        <x:v>fea38e2d-225e-44b7-9e02-f09803405b8d</x:v>
      </x:c>
      <x:c r="D145" s="24" t="str">
        <x:v>数量关系</x:v>
      </x:c>
      <x:c r="E145" s="24" t="str">
        <x:v>2.0</x:v>
      </x:c>
      <x:c r="F145" s="24" t="str">
        <x:v>V2 / ten-frame</x:v>
      </x:c>
      <x:c r="G145" s="24" t="n">
        <x:v>2</x:v>
      </x:c>
      <x:c r="H145" s="24" t="str">
        <x:v>13</x:v>
      </x:c>
      <x:c r="I145" s="24" t="str">
        <x:v>本轮未深审</x:v>
      </x:c>
      <x:c r="J145" s="24" t="str">
        <x:v>PENDING_AI_DEEP_REVIEW</x:v>
      </x:c>
      <x:c r="K145" s="24" t="str">
        <x:v>原始未动</x:v>
      </x:c>
      <x:c r="L145" s="24" t="str">
        <x:v>PENDING</x:v>
      </x:c>
      <x:c r="M145" s="24" t="str"/>
      <x:c r="N145" s="24" t="str"/>
      <x:c r="O145" s="24" t="str"/>
    </x:row>
    <x:row r="146" ht="34" customHeight="1">
      <x:c r="A146" s="24" t="n">
        <x:v>145</x:v>
      </x:c>
      <x:c r="B146" s="24" t="str">
        <x:v>[T155] V14-P0-077</x:v>
      </x:c>
      <x:c r="C146" s="24" t="str">
        <x:v>066c5362-762c-4a52-995b-db7d55747a12</x:v>
      </x:c>
      <x:c r="D146" s="24" t="str">
        <x:v>数量关系</x:v>
      </x:c>
      <x:c r="E146" s="24" t="str">
        <x:v>2.0</x:v>
      </x:c>
      <x:c r="F146" s="24" t="str">
        <x:v>V2 / number-input</x:v>
      </x:c>
      <x:c r="G146" s="24" t="n">
        <x:v>2</x:v>
      </x:c>
      <x:c r="H146" s="24" t="str">
        <x:v>24</x:v>
      </x:c>
      <x:c r="I146" s="24" t="str">
        <x:v>本轮未深审</x:v>
      </x:c>
      <x:c r="J146" s="24" t="str">
        <x:v>PENDING_AI_DEEP_REVIEW</x:v>
      </x:c>
      <x:c r="K146" s="24" t="str">
        <x:v>原始未动</x:v>
      </x:c>
      <x:c r="L146" s="24" t="str">
        <x:v>PENDING</x:v>
      </x:c>
      <x:c r="M146" s="24" t="str"/>
      <x:c r="N146" s="24" t="str"/>
      <x:c r="O146" s="24" t="str"/>
    </x:row>
    <x:row r="147" ht="34" customHeight="1">
      <x:c r="A147" s="24" t="n">
        <x:v>146</x:v>
      </x:c>
      <x:c r="B147" s="24" t="str">
        <x:v>[T155] V14-P0-072</x:v>
      </x:c>
      <x:c r="C147" s="24" t="str">
        <x:v>3b25ca25-ef47-4196-ab2a-3dd3e47a3c9c</x:v>
      </x:c>
      <x:c r="D147" s="24" t="str">
        <x:v>数量关系</x:v>
      </x:c>
      <x:c r="E147" s="24" t="str">
        <x:v>2.0</x:v>
      </x:c>
      <x:c r="F147" s="24" t="str">
        <x:v>V2 / grouping-board</x:v>
      </x:c>
      <x:c r="G147" s="24" t="n">
        <x:v>2</x:v>
      </x:c>
      <x:c r="H147" s="24" t="str">
        <x:v>5</x:v>
      </x:c>
      <x:c r="I147" s="24" t="str">
        <x:v>本轮未深审</x:v>
      </x:c>
      <x:c r="J147" s="24" t="str">
        <x:v>PENDING_AI_DEEP_REVIEW</x:v>
      </x:c>
      <x:c r="K147" s="24" t="str">
        <x:v>原始未动</x:v>
      </x:c>
      <x:c r="L147" s="24" t="str">
        <x:v>PENDING</x:v>
      </x:c>
      <x:c r="M147" s="24" t="str"/>
      <x:c r="N147" s="24" t="str"/>
      <x:c r="O147" s="24" t="str"/>
    </x:row>
    <x:row r="148" ht="34" customHeight="1">
      <x:c r="A148" s="24" t="n">
        <x:v>147</x:v>
      </x:c>
      <x:c r="B148" s="24" t="str">
        <x:v>[T155] V14-P0-132</x:v>
      </x:c>
      <x:c r="C148" s="24" t="str">
        <x:v>a44a4b4b-b6a3-404b-95e1-6d222d83241a</x:v>
      </x:c>
      <x:c r="D148" s="24" t="str">
        <x:v>数量关系</x:v>
      </x:c>
      <x:c r="E148" s="24" t="str">
        <x:v>2.0</x:v>
      </x:c>
      <x:c r="F148" s="24" t="str">
        <x:v>V2 / clock</x:v>
      </x:c>
      <x:c r="G148" s="24" t="n">
        <x:v>2</x:v>
      </x:c>
      <x:c r="H148" s="24" t="str">
        <x:v>180</x:v>
      </x:c>
      <x:c r="I148" s="24" t="str">
        <x:v>本轮未深审</x:v>
      </x:c>
      <x:c r="J148" s="24" t="str">
        <x:v>PENDING_AI_DEEP_REVIEW</x:v>
      </x:c>
      <x:c r="K148" s="24" t="str">
        <x:v>原始未动</x:v>
      </x:c>
      <x:c r="L148" s="24" t="str">
        <x:v>PENDING</x:v>
      </x:c>
      <x:c r="M148" s="24" t="str"/>
      <x:c r="N148" s="24" t="str"/>
      <x:c r="O148" s="24" t="str"/>
    </x:row>
    <x:row r="149" ht="34" customHeight="1">
      <x:c r="A149" s="24" t="n">
        <x:v>148</x:v>
      </x:c>
      <x:c r="B149" s="24" t="str">
        <x:v>[T155] V14-P0-067</x:v>
      </x:c>
      <x:c r="C149" s="24" t="str">
        <x:v>5ee5ff07-2b57-4ce5-9752-e40d528fb12e</x:v>
      </x:c>
      <x:c r="D149" s="24" t="str">
        <x:v>数量关系</x:v>
      </x:c>
      <x:c r="E149" s="24" t="str">
        <x:v>2.0</x:v>
      </x:c>
      <x:c r="F149" s="24" t="str">
        <x:v>V2 / grouping-board</x:v>
      </x:c>
      <x:c r="G149" s="24" t="n">
        <x:v>2</x:v>
      </x:c>
      <x:c r="H149" s="24" t="str">
        <x:v>6</x:v>
      </x:c>
      <x:c r="I149" s="24" t="str">
        <x:v>本轮未深审</x:v>
      </x:c>
      <x:c r="J149" s="24" t="str">
        <x:v>PENDING_AI_DEEP_REVIEW</x:v>
      </x:c>
      <x:c r="K149" s="24" t="str">
        <x:v>原始未动</x:v>
      </x:c>
      <x:c r="L149" s="24" t="str">
        <x:v>PENDING</x:v>
      </x:c>
      <x:c r="M149" s="24" t="str"/>
      <x:c r="N149" s="24" t="str"/>
      <x:c r="O149" s="24" t="str"/>
    </x:row>
    <x:row r="150" ht="34" customHeight="1">
      <x:c r="A150" s="24" t="n">
        <x:v>149</x:v>
      </x:c>
      <x:c r="B150" s="24" t="str">
        <x:v>[T155] V14-P0-012</x:v>
      </x:c>
      <x:c r="C150" s="24" t="str">
        <x:v>d014157f-b2cd-46c7-98ec-135584b9b145</x:v>
      </x:c>
      <x:c r="D150" s="24" t="str">
        <x:v>数量关系</x:v>
      </x:c>
      <x:c r="E150" s="24" t="str">
        <x:v>2.0</x:v>
      </x:c>
      <x:c r="F150" s="24" t="str">
        <x:v>V2 / bar-model</x:v>
      </x:c>
      <x:c r="G150" s="24" t="n">
        <x:v>2</x:v>
      </x:c>
      <x:c r="H150" s="24" t="str">
        <x:v>14</x:v>
      </x:c>
      <x:c r="I150" s="24" t="str">
        <x:v>本轮未深审</x:v>
      </x:c>
      <x:c r="J150" s="24" t="str">
        <x:v>PENDING_AI_DEEP_REVIEW</x:v>
      </x:c>
      <x:c r="K150" s="24" t="str">
        <x:v>原始未动</x:v>
      </x:c>
      <x:c r="L150" s="24" t="str">
        <x:v>PENDING</x:v>
      </x:c>
      <x:c r="M150" s="24" t="str"/>
      <x:c r="N150" s="24" t="str"/>
      <x:c r="O150" s="24" t="str"/>
    </x:row>
    <x:row r="151" ht="34" customHeight="1">
      <x:c r="A151" s="24" t="n">
        <x:v>150</x:v>
      </x:c>
      <x:c r="B151" s="24" t="str">
        <x:v>[T155] V14-P0-022</x:v>
      </x:c>
      <x:c r="C151" s="24" t="str">
        <x:v>020bd81e-02f9-425b-95ea-db208191cedf</x:v>
      </x:c>
      <x:c r="D151" s="24" t="str">
        <x:v>数量关系</x:v>
      </x:c>
      <x:c r="E151" s="24" t="str">
        <x:v>2.0</x:v>
      </x:c>
      <x:c r="F151" s="24" t="str">
        <x:v>V2 / number-line</x:v>
      </x:c>
      <x:c r="G151" s="24" t="n">
        <x:v>2</x:v>
      </x:c>
      <x:c r="H151" s="24" t="str">
        <x:v>15</x:v>
      </x:c>
      <x:c r="I151" s="24" t="str">
        <x:v>本轮未深审</x:v>
      </x:c>
      <x:c r="J151" s="24" t="str">
        <x:v>PENDING_AI_DEEP_REVIEW</x:v>
      </x:c>
      <x:c r="K151" s="24" t="str">
        <x:v>原始未动</x:v>
      </x:c>
      <x:c r="L151" s="24" t="str">
        <x:v>PENDING</x:v>
      </x:c>
      <x:c r="M151" s="24" t="str"/>
      <x:c r="N151" s="24" t="str"/>
      <x:c r="O151" s="24" t="str"/>
    </x:row>
    <x:row r="152" ht="34" customHeight="1">
      <x:c r="A152" s="24" t="n">
        <x:v>151</x:v>
      </x:c>
      <x:c r="B152" s="24" t="str">
        <x:v>[T155] V14-P0-032</x:v>
      </x:c>
      <x:c r="C152" s="24" t="str">
        <x:v>c895d226-fe6e-494b-b398-54ea481dc66b</x:v>
      </x:c>
      <x:c r="D152" s="24" t="str">
        <x:v>数量关系</x:v>
      </x:c>
      <x:c r="E152" s="24" t="str">
        <x:v>2.0</x:v>
      </x:c>
      <x:c r="F152" s="24" t="str">
        <x:v>V2 / number-input</x:v>
      </x:c>
      <x:c r="G152" s="24" t="n">
        <x:v>2</x:v>
      </x:c>
      <x:c r="H152" s="24" t="str">
        <x:v>75</x:v>
      </x:c>
      <x:c r="I152" s="24" t="str">
        <x:v>本轮未深审</x:v>
      </x:c>
      <x:c r="J152" s="24" t="str">
        <x:v>PENDING_AI_DEEP_REVIEW</x:v>
      </x:c>
      <x:c r="K152" s="24" t="str">
        <x:v>原始未动</x:v>
      </x:c>
      <x:c r="L152" s="24" t="str">
        <x:v>PENDING</x:v>
      </x:c>
      <x:c r="M152" s="24" t="str"/>
      <x:c r="N152" s="24" t="str"/>
      <x:c r="O152" s="24" t="str"/>
    </x:row>
    <x:row r="153" ht="34" customHeight="1">
      <x:c r="A153" s="24" t="n">
        <x:v>152</x:v>
      </x:c>
      <x:c r="B153" s="24" t="str">
        <x:v>[T155] V14-P0-052</x:v>
      </x:c>
      <x:c r="C153" s="24" t="str">
        <x:v>a07b9189-1fb0-457c-bf54-75b8b1e71826</x:v>
      </x:c>
      <x:c r="D153" s="24" t="str">
        <x:v>数量关系</x:v>
      </x:c>
      <x:c r="E153" s="24" t="str">
        <x:v>2.0</x:v>
      </x:c>
      <x:c r="F153" s="24" t="str">
        <x:v>V2 / column-arithmetic</x:v>
      </x:c>
      <x:c r="G153" s="24" t="n">
        <x:v>2</x:v>
      </x:c>
      <x:c r="H153" s="24" t="str">
        <x:v>37</x:v>
      </x:c>
      <x:c r="I153" s="24" t="str">
        <x:v>本轮未深审</x:v>
      </x:c>
      <x:c r="J153" s="24" t="str">
        <x:v>PENDING_AI_DEEP_REVIEW</x:v>
      </x:c>
      <x:c r="K153" s="24" t="str">
        <x:v>原始未动</x:v>
      </x:c>
      <x:c r="L153" s="24" t="str">
        <x:v>PENDING</x:v>
      </x:c>
      <x:c r="M153" s="24" t="str"/>
      <x:c r="N153" s="24" t="str"/>
      <x:c r="O153" s="24" t="str"/>
    </x:row>
    <x:row r="154" ht="34" customHeight="1">
      <x:c r="A154" s="24" t="n">
        <x:v>153</x:v>
      </x:c>
      <x:c r="B154" s="24" t="str">
        <x:v>[T155] V14-P0-057</x:v>
      </x:c>
      <x:c r="C154" s="24" t="str">
        <x:v>865e4310-0e8a-4938-a997-d32acc854060</x:v>
      </x:c>
      <x:c r="D154" s="24" t="str">
        <x:v>数量关系</x:v>
      </x:c>
      <x:c r="E154" s="24" t="str">
        <x:v>2.0</x:v>
      </x:c>
      <x:c r="F154" s="24" t="str">
        <x:v>V2 / array-board</x:v>
      </x:c>
      <x:c r="G154" s="24" t="n">
        <x:v>2</x:v>
      </x:c>
      <x:c r="H154" s="24" t="str">
        <x:v>12</x:v>
      </x:c>
      <x:c r="I154" s="24" t="str">
        <x:v>本轮未深审</x:v>
      </x:c>
      <x:c r="J154" s="24" t="str">
        <x:v>PENDING_AI_DEEP_REVIEW</x:v>
      </x:c>
      <x:c r="K154" s="24" t="str">
        <x:v>原始未动</x:v>
      </x:c>
      <x:c r="L154" s="24" t="str">
        <x:v>PENDING</x:v>
      </x:c>
      <x:c r="M154" s="24" t="str"/>
      <x:c r="N154" s="24" t="str"/>
      <x:c r="O154" s="24" t="str"/>
    </x:row>
    <x:row r="155" ht="34" customHeight="1">
      <x:c r="A155" s="24" t="n">
        <x:v>154</x:v>
      </x:c>
      <x:c r="B155" s="24" t="str">
        <x:v>[T155] V14-P0-062</x:v>
      </x:c>
      <x:c r="C155" s="24" t="str">
        <x:v>136385fb-26a2-4d3f-86e1-813037b23b59</x:v>
      </x:c>
      <x:c r="D155" s="24" t="str">
        <x:v>数量关系</x:v>
      </x:c>
      <x:c r="E155" s="24" t="str">
        <x:v>2.0</x:v>
      </x:c>
      <x:c r="F155" s="24" t="str">
        <x:v>V2 / array-board</x:v>
      </x:c>
      <x:c r="G155" s="24" t="n">
        <x:v>2</x:v>
      </x:c>
      <x:c r="H155" s="24" t="str">
        <x:v>16</x:v>
      </x:c>
      <x:c r="I155" s="24" t="str">
        <x:v>本轮未深审</x:v>
      </x:c>
      <x:c r="J155" s="24" t="str">
        <x:v>PENDING_AI_DEEP_REVIEW</x:v>
      </x:c>
      <x:c r="K155" s="24" t="str">
        <x:v>原始未动</x:v>
      </x:c>
      <x:c r="L155" s="24" t="str">
        <x:v>PENDING</x:v>
      </x:c>
      <x:c r="M155" s="24" t="str"/>
      <x:c r="N155" s="24" t="str"/>
      <x:c r="O155" s="24" t="str"/>
    </x:row>
    <x:row r="156" ht="34" customHeight="1">
      <x:c r="A156" s="24" t="n">
        <x:v>155</x:v>
      </x:c>
      <x:c r="B156" s="24" t="str">
        <x:v>换个说法找较小数</x:v>
      </x:c>
      <x:c r="C156" s="24" t="str">
        <x:v>7f22076d-e47d-46e4-a822-0528a90a451a</x:v>
      </x:c>
      <x:c r="D156" s="24" t="str">
        <x:v>数量关系</x:v>
      </x:c>
      <x:c r="E156" s="24" t="str">
        <x:v>1.0</x:v>
      </x:c>
      <x:c r="F156" s="24" t="str">
        <x:v>V1 / bar-model</x:v>
      </x:c>
      <x:c r="G156" s="24" t="n">
        <x:v>3</x:v>
      </x:c>
      <x:c r="H156" s="24" t="str">
        <x:v>8</x:v>
      </x:c>
      <x:c r="I156" s="24" t="str">
        <x:v>本轮未深审</x:v>
      </x:c>
      <x:c r="J156" s="24" t="str">
        <x:v>PENDING_AI_DEEP_REVIEW</x:v>
      </x:c>
      <x:c r="K156" s="24" t="str">
        <x:v>原始未动</x:v>
      </x:c>
      <x:c r="L156" s="24" t="str">
        <x:v>PENDING</x:v>
      </x:c>
      <x:c r="M156" s="24" t="str"/>
      <x:c r="N156" s="24" t="str"/>
      <x:c r="O156" s="24" t="str"/>
    </x:row>
    <x:row r="157" ht="34" customHeight="1">
      <x:c r="A157" s="24" t="n">
        <x:v>156</x:v>
      </x:c>
      <x:c r="B157" s="24" t="str">
        <x:v>把糖分给小朋友（V2 链 R09）</x:v>
      </x:c>
      <x:c r="C157" s="24" t="str">
        <x:v>9e8db37a-a695-4b0f-8927-05f63923250e</x:v>
      </x:c>
      <x:c r="D157" s="24" t="str">
        <x:v>数量关系</x:v>
      </x:c>
      <x:c r="E157" s="24" t="str">
        <x:v>2.0</x:v>
      </x:c>
      <x:c r="F157" s="24" t="str">
        <x:v>V2 / grouping-board</x:v>
      </x:c>
      <x:c r="G157" s="24" t="n">
        <x:v>3</x:v>
      </x:c>
      <x:c r="H157" s="24" t="str">
        <x:v>4</x:v>
      </x:c>
      <x:c r="I157" s="24" t="str">
        <x:v>本轮未深审</x:v>
      </x:c>
      <x:c r="J157" s="24" t="str">
        <x:v>PENDING_AI_DEEP_REVIEW</x:v>
      </x:c>
      <x:c r="K157" s="24" t="str">
        <x:v>原始未动</x:v>
      </x:c>
      <x:c r="L157" s="24" t="str">
        <x:v>PENDING</x:v>
      </x:c>
      <x:c r="M157" s="24" t="str"/>
      <x:c r="N157" s="24" t="str"/>
      <x:c r="O157" s="24" t="str"/>
    </x:row>
    <x:row r="158" ht="34" customHeight="1">
      <x:c r="A158" s="24" t="n">
        <x:v>157</x:v>
      </x:c>
      <x:c r="B158" s="24" t="str">
        <x:v>[T155] V14-P0-058</x:v>
      </x:c>
      <x:c r="C158" s="24" t="str">
        <x:v>900d0f41-7b2a-4cac-914b-fdd75434e0c6</x:v>
      </x:c>
      <x:c r="D158" s="24" t="str">
        <x:v>数量关系</x:v>
      </x:c>
      <x:c r="E158" s="24" t="str">
        <x:v>2.0</x:v>
      </x:c>
      <x:c r="F158" s="24" t="str">
        <x:v>V2 / array-board</x:v>
      </x:c>
      <x:c r="G158" s="24" t="n">
        <x:v>3</x:v>
      </x:c>
      <x:c r="H158" s="24" t="str">
        <x:v>20</x:v>
      </x:c>
      <x:c r="I158" s="24" t="str">
        <x:v>本轮未深审</x:v>
      </x:c>
      <x:c r="J158" s="24" t="str">
        <x:v>PENDING_AI_DEEP_REVIEW</x:v>
      </x:c>
      <x:c r="K158" s="24" t="str">
        <x:v>原始未动</x:v>
      </x:c>
      <x:c r="L158" s="24" t="str">
        <x:v>PENDING</x:v>
      </x:c>
      <x:c r="M158" s="24" t="str"/>
      <x:c r="N158" s="24" t="str"/>
      <x:c r="O158" s="24" t="str"/>
    </x:row>
    <x:row r="159" ht="34" customHeight="1">
      <x:c r="A159" s="24" t="n">
        <x:v>158</x:v>
      </x:c>
      <x:c r="B159" s="24" t="str">
        <x:v>[T155] V14-P0-078</x:v>
      </x:c>
      <x:c r="C159" s="24" t="str">
        <x:v>b7261e66-12fa-4c09-a070-5708b1d8da9d</x:v>
      </x:c>
      <x:c r="D159" s="24" t="str">
        <x:v>数量关系</x:v>
      </x:c>
      <x:c r="E159" s="24" t="str">
        <x:v>2.0</x:v>
      </x:c>
      <x:c r="F159" s="24" t="str">
        <x:v>V2 / number-input</x:v>
      </x:c>
      <x:c r="G159" s="24" t="n">
        <x:v>3</x:v>
      </x:c>
      <x:c r="H159" s="24" t="str">
        <x:v>4</x:v>
      </x:c>
      <x:c r="I159" s="24" t="str">
        <x:v>本轮未深审</x:v>
      </x:c>
      <x:c r="J159" s="24" t="str">
        <x:v>PENDING_AI_DEEP_REVIEW</x:v>
      </x:c>
      <x:c r="K159" s="24" t="str">
        <x:v>原始未动</x:v>
      </x:c>
      <x:c r="L159" s="24" t="str">
        <x:v>PENDING</x:v>
      </x:c>
      <x:c r="M159" s="24" t="str"/>
      <x:c r="N159" s="24" t="str"/>
      <x:c r="O159" s="24" t="str"/>
    </x:row>
    <x:row r="160" ht="34" customHeight="1">
      <x:c r="A160" s="24" t="n">
        <x:v>159</x:v>
      </x:c>
      <x:c r="B160" s="24" t="str">
        <x:v>[T155] V14-P0-068</x:v>
      </x:c>
      <x:c r="C160" s="24" t="str">
        <x:v>c572948e-b80f-4ede-9225-00eb8228f39f</x:v>
      </x:c>
      <x:c r="D160" s="24" t="str">
        <x:v>数量关系</x:v>
      </x:c>
      <x:c r="E160" s="24" t="str">
        <x:v>2.0</x:v>
      </x:c>
      <x:c r="F160" s="24" t="str">
        <x:v>V2 / grouping-board</x:v>
      </x:c>
      <x:c r="G160" s="24" t="n">
        <x:v>3</x:v>
      </x:c>
      <x:c r="H160" s="24" t="str">
        <x:v>4</x:v>
      </x:c>
      <x:c r="I160" s="24" t="str">
        <x:v>本轮未深审</x:v>
      </x:c>
      <x:c r="J160" s="24" t="str">
        <x:v>PENDING_AI_DEEP_REVIEW</x:v>
      </x:c>
      <x:c r="K160" s="24" t="str">
        <x:v>原始未动</x:v>
      </x:c>
      <x:c r="L160" s="24" t="str">
        <x:v>PENDING</x:v>
      </x:c>
      <x:c r="M160" s="24" t="str"/>
      <x:c r="N160" s="24" t="str"/>
      <x:c r="O160" s="24" t="str"/>
    </x:row>
    <x:row r="161" ht="34" customHeight="1">
      <x:c r="A161" s="24" t="n">
        <x:v>160</x:v>
      </x:c>
      <x:c r="B161" s="24" t="str">
        <x:v>[T155] V14-P0-153</x:v>
      </x:c>
      <x:c r="C161" s="24" t="str">
        <x:v>8352ddda-7704-40f5-9bac-8ee4742dde19</x:v>
      </x:c>
      <x:c r="D161" s="24" t="str">
        <x:v>数量关系</x:v>
      </x:c>
      <x:c r="E161" s="24" t="str">
        <x:v>2.0</x:v>
      </x:c>
      <x:c r="F161" s="24" t="str">
        <x:v>V2 / number-input</x:v>
      </x:c>
      <x:c r="G161" s="24" t="n">
        <x:v>3</x:v>
      </x:c>
      <x:c r="H161" s="24" t="str">
        <x:v>37</x:v>
      </x:c>
      <x:c r="I161" s="24" t="str">
        <x:v>本轮未深审</x:v>
      </x:c>
      <x:c r="J161" s="24" t="str">
        <x:v>PENDING_AI_DEEP_REVIEW</x:v>
      </x:c>
      <x:c r="K161" s="24" t="str">
        <x:v>原始未动</x:v>
      </x:c>
      <x:c r="L161" s="24" t="str">
        <x:v>PENDING</x:v>
      </x:c>
      <x:c r="M161" s="24" t="str"/>
      <x:c r="N161" s="24" t="str"/>
      <x:c r="O161" s="24" t="str"/>
    </x:row>
    <x:row r="162" ht="34" customHeight="1">
      <x:c r="A162" s="24" t="n">
        <x:v>161</x:v>
      </x:c>
      <x:c r="B162" s="24" t="str">
        <x:v>[T155] V14-P0-063</x:v>
      </x:c>
      <x:c r="C162" s="24" t="str">
        <x:v>ba677aa4-4f0c-4361-97a7-fecb4ed98f9d</x:v>
      </x:c>
      <x:c r="D162" s="24" t="str">
        <x:v>数量关系</x:v>
      </x:c>
      <x:c r="E162" s="24" t="str">
        <x:v>2.0</x:v>
      </x:c>
      <x:c r="F162" s="24" t="str">
        <x:v>V2 / array-board</x:v>
      </x:c>
      <x:c r="G162" s="24" t="n">
        <x:v>3</x:v>
      </x:c>
      <x:c r="H162" s="24" t="str">
        <x:v>16</x:v>
      </x:c>
      <x:c r="I162" s="24" t="str">
        <x:v>本轮未深审</x:v>
      </x:c>
      <x:c r="J162" s="24" t="str">
        <x:v>PENDING_AI_DEEP_REVIEW</x:v>
      </x:c>
      <x:c r="K162" s="24" t="str">
        <x:v>原始未动</x:v>
      </x:c>
      <x:c r="L162" s="24" t="str">
        <x:v>PENDING</x:v>
      </x:c>
      <x:c r="M162" s="24" t="str"/>
      <x:c r="N162" s="24" t="str"/>
      <x:c r="O162" s="24" t="str"/>
    </x:row>
    <x:row r="163" ht="34" customHeight="1">
      <x:c r="A163" s="24" t="n">
        <x:v>162</x:v>
      </x:c>
      <x:c r="B163" s="24" t="str">
        <x:v>[T155] V14-P0-053</x:v>
      </x:c>
      <x:c r="C163" s="24" t="str">
        <x:v>f34a9bdf-013e-4b99-9025-cdb9b31c7d94</x:v>
      </x:c>
      <x:c r="D163" s="24" t="str">
        <x:v>数量关系</x:v>
      </x:c>
      <x:c r="E163" s="24" t="str">
        <x:v>2.0</x:v>
      </x:c>
      <x:c r="F163" s="24" t="str">
        <x:v>V2 / column-arithmetic</x:v>
      </x:c>
      <x:c r="G163" s="24" t="n">
        <x:v>3</x:v>
      </x:c>
      <x:c r="H163" s="24" t="str">
        <x:v>84</x:v>
      </x:c>
      <x:c r="I163" s="24" t="str">
        <x:v>本轮未深审</x:v>
      </x:c>
      <x:c r="J163" s="24" t="str">
        <x:v>PENDING_AI_DEEP_REVIEW</x:v>
      </x:c>
      <x:c r="K163" s="24" t="str">
        <x:v>原始未动</x:v>
      </x:c>
      <x:c r="L163" s="24" t="str">
        <x:v>PENDING</x:v>
      </x:c>
      <x:c r="M163" s="24" t="str"/>
      <x:c r="N163" s="24" t="str"/>
      <x:c r="O163" s="24" t="str"/>
    </x:row>
    <x:row r="164" ht="34" customHeight="1">
      <x:c r="A164" s="24" t="n">
        <x:v>163</x:v>
      </x:c>
      <x:c r="B164" s="24" t="str">
        <x:v>[T155] V14-P0-023</x:v>
      </x:c>
      <x:c r="C164" s="24" t="str">
        <x:v>6e5fb018-975e-4047-a78e-5555b2c58cc8</x:v>
      </x:c>
      <x:c r="D164" s="24" t="str">
        <x:v>数量关系</x:v>
      </x:c>
      <x:c r="E164" s="24" t="str">
        <x:v>2.0</x:v>
      </x:c>
      <x:c r="F164" s="24" t="str">
        <x:v>V2 / number-line</x:v>
      </x:c>
      <x:c r="G164" s="24" t="n">
        <x:v>3</x:v>
      </x:c>
      <x:c r="H164" s="24" t="str">
        <x:v>15</x:v>
      </x:c>
      <x:c r="I164" s="24" t="str">
        <x:v>本轮未深审</x:v>
      </x:c>
      <x:c r="J164" s="24" t="str">
        <x:v>PENDING_AI_DEEP_REVIEW</x:v>
      </x:c>
      <x:c r="K164" s="24" t="str">
        <x:v>原始未动</x:v>
      </x:c>
      <x:c r="L164" s="24" t="str">
        <x:v>PENDING</x:v>
      </x:c>
      <x:c r="M164" s="24" t="str"/>
      <x:c r="N164" s="24" t="str"/>
      <x:c r="O164" s="24" t="str"/>
    </x:row>
    <x:row r="165" ht="34" customHeight="1">
      <x:c r="A165" s="24" t="n">
        <x:v>164</x:v>
      </x:c>
      <x:c r="B165" s="24" t="str">
        <x:v>[T155] V14-P0-018</x:v>
      </x:c>
      <x:c r="C165" s="24" t="str">
        <x:v>e1314829-19ff-4929-80e4-70c334c4015e</x:v>
      </x:c>
      <x:c r="D165" s="24" t="str">
        <x:v>数量关系</x:v>
      </x:c>
      <x:c r="E165" s="24" t="str">
        <x:v>2.0</x:v>
      </x:c>
      <x:c r="F165" s="24" t="str">
        <x:v>V2 / number-line</x:v>
      </x:c>
      <x:c r="G165" s="24" t="n">
        <x:v>3</x:v>
      </x:c>
      <x:c r="H165" s="24" t="str">
        <x:v>9</x:v>
      </x:c>
      <x:c r="I165" s="24" t="str">
        <x:v>本轮未深审</x:v>
      </x:c>
      <x:c r="J165" s="24" t="str">
        <x:v>PENDING_AI_DEEP_REVIEW</x:v>
      </x:c>
      <x:c r="K165" s="24" t="str">
        <x:v>原始未动</x:v>
      </x:c>
      <x:c r="L165" s="24" t="str">
        <x:v>PENDING</x:v>
      </x:c>
      <x:c r="M165" s="24" t="str"/>
      <x:c r="N165" s="24" t="str"/>
      <x:c r="O165" s="24" t="str"/>
    </x:row>
    <x:row r="166" ht="34" customHeight="1">
      <x:c r="A166" s="24" t="n">
        <x:v>165</x:v>
      </x:c>
      <x:c r="B166" s="24" t="str">
        <x:v>[T155] V14-P0-008</x:v>
      </x:c>
      <x:c r="C166" s="24" t="str">
        <x:v>f3bb5804-3676-4e30-815a-d9d9edbc73db</x:v>
      </x:c>
      <x:c r="D166" s="24" t="str">
        <x:v>数量关系</x:v>
      </x:c>
      <x:c r="E166" s="24" t="str">
        <x:v>2.0</x:v>
      </x:c>
      <x:c r="F166" s="24" t="str">
        <x:v>V2 / object-counter</x:v>
      </x:c>
      <x:c r="G166" s="24" t="n">
        <x:v>3</x:v>
      </x:c>
      <x:c r="H166" s="24" t="str">
        <x:v>12</x:v>
      </x:c>
      <x:c r="I166" s="24" t="str">
        <x:v>本轮未深审</x:v>
      </x:c>
      <x:c r="J166" s="24" t="str">
        <x:v>PENDING_AI_DEEP_REVIEW</x:v>
      </x:c>
      <x:c r="K166" s="24" t="str">
        <x:v>原始未动</x:v>
      </x:c>
      <x:c r="L166" s="24" t="str">
        <x:v>PENDING</x:v>
      </x:c>
      <x:c r="M166" s="24" t="str"/>
      <x:c r="N166" s="24" t="str"/>
      <x:c r="O166" s="24" t="str"/>
    </x:row>
    <x:row r="167" ht="34" customHeight="1">
      <x:c r="A167" s="24" t="n">
        <x:v>166</x:v>
      </x:c>
      <x:c r="B167" s="24" t="str">
        <x:v>[T155] V14-P0-028</x:v>
      </x:c>
      <x:c r="C167" s="24" t="str">
        <x:v>b2d1ec1b-5098-4709-a9ef-498029423cfc</x:v>
      </x:c>
      <x:c r="D167" s="24" t="str">
        <x:v>数量关系</x:v>
      </x:c>
      <x:c r="E167" s="24" t="str">
        <x:v>2.0</x:v>
      </x:c>
      <x:c r="F167" s="24" t="str">
        <x:v>V2 / number-input</x:v>
      </x:c>
      <x:c r="G167" s="24" t="n">
        <x:v>3</x:v>
      </x:c>
      <x:c r="H167" s="24" t="str">
        <x:v>33</x:v>
      </x:c>
      <x:c r="I167" s="24" t="str">
        <x:v>本轮未深审</x:v>
      </x:c>
      <x:c r="J167" s="24" t="str">
        <x:v>PENDING_AI_DEEP_REVIEW</x:v>
      </x:c>
      <x:c r="K167" s="24" t="str">
        <x:v>原始未动</x:v>
      </x:c>
      <x:c r="L167" s="24" t="str">
        <x:v>PENDING</x:v>
      </x:c>
      <x:c r="M167" s="24" t="str"/>
      <x:c r="N167" s="24" t="str"/>
      <x:c r="O167" s="24" t="str"/>
    </x:row>
    <x:row r="168" ht="34" customHeight="1">
      <x:c r="A168" s="24" t="n">
        <x:v>167</x:v>
      </x:c>
      <x:c r="B168" s="24" t="str">
        <x:v>数轴跳跳跳（V2链）</x:v>
      </x:c>
      <x:c r="C168" s="24" t="str">
        <x:v>e0a2a067-175b-480d-a614-e326212923f7</x:v>
      </x:c>
      <x:c r="D168" s="24" t="str">
        <x:v>数量关系</x:v>
      </x:c>
      <x:c r="E168" s="24" t="str">
        <x:v>2.0</x:v>
      </x:c>
      <x:c r="F168" s="24" t="str">
        <x:v>V2 / number-line</x:v>
      </x:c>
      <x:c r="G168" s="24" t="n">
        <x:v>3</x:v>
      </x:c>
      <x:c r="H168" s="24" t="str">
        <x:v>35</x:v>
      </x:c>
      <x:c r="I168" s="24" t="str">
        <x:v>版本更新补审</x:v>
      </x:c>
      <x:c r="J168" s="24" t="str">
        <x:v>APPROVED_CANDIDATE</x:v>
      </x:c>
      <x:c r="K168" s="24" t="str">
        <x:v>FE-1455 约束新版（旧 8eb5de92·published）</x:v>
      </x:c>
      <x:c r="L168" s="24" t="str">
        <x:v>PENDING</x:v>
      </x:c>
      <x:c r="M168" s="24" t="str"/>
      <x:c r="N168" s="24" t="str"/>
      <x:c r="O168" s="24" t="str"/>
    </x:row>
    <x:row r="169" ht="34" customHeight="1">
      <x:c r="A169" s="24" t="n">
        <x:v>168</x:v>
      </x:c>
      <x:c r="B169" s="24" t="str">
        <x:v>三组一样多</x:v>
      </x:c>
      <x:c r="C169" s="24" t="str">
        <x:v>5bceb172-2b67-4421-99b2-175ec05b94e9</x:v>
      </x:c>
      <x:c r="D169" s="24" t="str">
        <x:v>数量关系</x:v>
      </x:c>
      <x:c r="E169" s="24" t="str">
        <x:v>1.0</x:v>
      </x:c>
      <x:c r="F169" s="24" t="str">
        <x:v>V1 / number-line</x:v>
      </x:c>
      <x:c r="G169" s="24" t="n">
        <x:v>3</x:v>
      </x:c>
      <x:c r="H169" s="24" t="str">
        <x:v>21</x:v>
      </x:c>
      <x:c r="I169" s="24" t="str">
        <x:v>重点逐题预审</x:v>
      </x:c>
      <x:c r="J169" s="24" t="str">
        <x:v>REVISION_REQUIRED</x:v>
      </x:c>
      <x:c r="K169" s="24" t="str">
        <x:v>Rev.B 起点修复版（旧 1ab893bf·published）</x:v>
      </x:c>
      <x:c r="L169" s="24" t="str">
        <x:v>PENDING</x:v>
      </x:c>
      <x:c r="M169" s="24" t="str"/>
      <x:c r="N169" s="24" t="str"/>
      <x:c r="O169" s="24" t="str"/>
    </x:row>
    <x:row r="170" ht="34" customHeight="1">
      <x:c r="A170" s="24" t="n">
        <x:v>169</x:v>
      </x:c>
      <x:c r="B170" s="24" t="str">
        <x:v>两个人总量中的隐藏数量</x:v>
      </x:c>
      <x:c r="C170" s="24" t="str">
        <x:v>421ede36-8f1b-4b10-9433-e92f039231bd</x:v>
      </x:c>
      <x:c r="D170" s="24" t="str">
        <x:v>数量关系</x:v>
      </x:c>
      <x:c r="E170" s="24" t="str">
        <x:v>1.0</x:v>
      </x:c>
      <x:c r="F170" s="24" t="str">
        <x:v>V1 / bar-model</x:v>
      </x:c>
      <x:c r="G170" s="24" t="n">
        <x:v>4</x:v>
      </x:c>
      <x:c r="H170" s="24" t="str">
        <x:v>18</x:v>
      </x:c>
      <x:c r="I170" s="24" t="str">
        <x:v>本轮未深审</x:v>
      </x:c>
      <x:c r="J170" s="24" t="str">
        <x:v>PENDING_AI_DEEP_REVIEW</x:v>
      </x:c>
      <x:c r="K170" s="24" t="str">
        <x:v>原始未动</x:v>
      </x:c>
      <x:c r="L170" s="24" t="str">
        <x:v>PENDING</x:v>
      </x:c>
      <x:c r="M170" s="24" t="str"/>
      <x:c r="N170" s="24" t="str"/>
      <x:c r="O170" s="24" t="str"/>
    </x:row>
    <x:row r="171" ht="34" customHeight="1">
      <x:c r="A171" s="24" t="n">
        <x:v>170</x:v>
      </x:c>
      <x:c r="B171" s="24" t="str">
        <x:v>图书馆的新书（竖式 V2 链）</x:v>
      </x:c>
      <x:c r="C171" s="24" t="str">
        <x:v>183c028f-fdc6-4fe1-8c6b-b55c111f906d</x:v>
      </x:c>
      <x:c r="D171" s="24" t="str">
        <x:v>数量关系</x:v>
      </x:c>
      <x:c r="E171" s="24" t="str">
        <x:v>2.0</x:v>
      </x:c>
      <x:c r="F171" s="24" t="str">
        <x:v>V2 / column-arithmetic</x:v>
      </x:c>
      <x:c r="G171" s="24" t="n">
        <x:v>4</x:v>
      </x:c>
      <x:c r="H171" s="24" t="str">
        <x:v>75</x:v>
      </x:c>
      <x:c r="I171" s="24" t="str">
        <x:v>本轮未深审</x:v>
      </x:c>
      <x:c r="J171" s="24" t="str">
        <x:v>PENDING_AI_DEEP_REVIEW</x:v>
      </x:c>
      <x:c r="K171" s="24" t="str">
        <x:v>原始未动</x:v>
      </x:c>
      <x:c r="L171" s="24" t="str">
        <x:v>PENDING</x:v>
      </x:c>
      <x:c r="M171" s="24" t="str"/>
      <x:c r="N171" s="24" t="str"/>
      <x:c r="O171" s="24" t="str"/>
    </x:row>
    <x:row r="172" ht="34" customHeight="1">
      <x:c r="A172" s="24" t="n">
        <x:v>171</x:v>
      </x:c>
      <x:c r="B172" s="24" t="str">
        <x:v>[T155] V14-P0-059</x:v>
      </x:c>
      <x:c r="C172" s="24" t="str">
        <x:v>d7830525-fa86-4791-826f-8b344963a747</x:v>
      </x:c>
      <x:c r="D172" s="24" t="str">
        <x:v>数量关系</x:v>
      </x:c>
      <x:c r="E172" s="24" t="str">
        <x:v>2.0</x:v>
      </x:c>
      <x:c r="F172" s="24" t="str">
        <x:v>V2 / array-board</x:v>
      </x:c>
      <x:c r="G172" s="24" t="n">
        <x:v>4</x:v>
      </x:c>
      <x:c r="H172" s="24" t="str">
        <x:v>12</x:v>
      </x:c>
      <x:c r="I172" s="24" t="str">
        <x:v>本轮未深审</x:v>
      </x:c>
      <x:c r="J172" s="24" t="str">
        <x:v>PENDING_AI_DEEP_REVIEW</x:v>
      </x:c>
      <x:c r="K172" s="24" t="str">
        <x:v>原始未动</x:v>
      </x:c>
      <x:c r="L172" s="24" t="str">
        <x:v>PENDING</x:v>
      </x:c>
      <x:c r="M172" s="24" t="str"/>
      <x:c r="N172" s="24" t="str"/>
      <x:c r="O172" s="24" t="str"/>
    </x:row>
    <x:row r="173" ht="34" customHeight="1">
      <x:c r="A173" s="24" t="n">
        <x:v>172</x:v>
      </x:c>
      <x:c r="B173" s="24" t="str">
        <x:v>[T155] V14-P0-029</x:v>
      </x:c>
      <x:c r="C173" s="24" t="str">
        <x:v>a95c1513-304b-486c-a836-ab31849d0fc5</x:v>
      </x:c>
      <x:c r="D173" s="24" t="str">
        <x:v>数量关系</x:v>
      </x:c>
      <x:c r="E173" s="24" t="str">
        <x:v>2.0</x:v>
      </x:c>
      <x:c r="F173" s="24" t="str">
        <x:v>V2 / number-input</x:v>
      </x:c>
      <x:c r="G173" s="24" t="n">
        <x:v>4</x:v>
      </x:c>
      <x:c r="H173" s="24" t="str">
        <x:v>46</x:v>
      </x:c>
      <x:c r="I173" s="24" t="str">
        <x:v>本轮未深审</x:v>
      </x:c>
      <x:c r="J173" s="24" t="str">
        <x:v>PENDING_AI_DEEP_REVIEW</x:v>
      </x:c>
      <x:c r="K173" s="24" t="str">
        <x:v>原始未动</x:v>
      </x:c>
      <x:c r="L173" s="24" t="str">
        <x:v>PENDING</x:v>
      </x:c>
      <x:c r="M173" s="24" t="str"/>
      <x:c r="N173" s="24" t="str"/>
      <x:c r="O173" s="24" t="str"/>
    </x:row>
    <x:row r="174" ht="34" customHeight="1">
      <x:c r="A174" s="24" t="n">
        <x:v>173</x:v>
      </x:c>
      <x:c r="B174" s="24" t="str">
        <x:v>[T155] V14-P0-049</x:v>
      </x:c>
      <x:c r="C174" s="24" t="str">
        <x:v>3354ec11-536c-4a13-b55b-0b94ea1395fc</x:v>
      </x:c>
      <x:c r="D174" s="24" t="str">
        <x:v>数量关系</x:v>
      </x:c>
      <x:c r="E174" s="24" t="str">
        <x:v>2.0</x:v>
      </x:c>
      <x:c r="F174" s="24" t="str">
        <x:v>V2 / column-arithmetic</x:v>
      </x:c>
      <x:c r="G174" s="24" t="n">
        <x:v>4</x:v>
      </x:c>
      <x:c r="H174" s="24" t="str">
        <x:v>75</x:v>
      </x:c>
      <x:c r="I174" s="24" t="str">
        <x:v>本轮未深审</x:v>
      </x:c>
      <x:c r="J174" s="24" t="str">
        <x:v>PENDING_AI_DEEP_REVIEW</x:v>
      </x:c>
      <x:c r="K174" s="24" t="str">
        <x:v>原始未动</x:v>
      </x:c>
      <x:c r="L174" s="24" t="str">
        <x:v>PENDING</x:v>
      </x:c>
      <x:c r="M174" s="24" t="str"/>
      <x:c r="N174" s="24" t="str"/>
      <x:c r="O174" s="24" t="str"/>
    </x:row>
    <x:row r="175" ht="34" customHeight="1">
      <x:c r="A175" s="24" t="n">
        <x:v>174</x:v>
      </x:c>
      <x:c r="B175" s="24" t="str">
        <x:v>[T155] V14-P0-019</x:v>
      </x:c>
      <x:c r="C175" s="24" t="str">
        <x:v>5417a9e6-f802-4d45-92e8-f7c35911a1c8</x:v>
      </x:c>
      <x:c r="D175" s="24" t="str">
        <x:v>数量关系</x:v>
      </x:c>
      <x:c r="E175" s="24" t="str">
        <x:v>2.0</x:v>
      </x:c>
      <x:c r="F175" s="24" t="str">
        <x:v>V2 / number-line</x:v>
      </x:c>
      <x:c r="G175" s="24" t="n">
        <x:v>4</x:v>
      </x:c>
      <x:c r="H175" s="24" t="str">
        <x:v>35</x:v>
      </x:c>
      <x:c r="I175" s="24" t="str">
        <x:v>本轮未深审</x:v>
      </x:c>
      <x:c r="J175" s="24" t="str">
        <x:v>PENDING_AI_DEEP_REVIEW</x:v>
      </x:c>
      <x:c r="K175" s="24" t="str">
        <x:v>原始未动</x:v>
      </x:c>
      <x:c r="L175" s="24" t="str">
        <x:v>PENDING</x:v>
      </x:c>
      <x:c r="M175" s="24" t="str"/>
      <x:c r="N175" s="24" t="str"/>
      <x:c r="O175" s="24" t="str"/>
    </x:row>
    <x:row r="176" ht="34" customHeight="1">
      <x:c r="A176" s="24" t="n">
        <x:v>175</x:v>
      </x:c>
      <x:c r="B176" s="24" t="str">
        <x:v>[T155] V14-P0-079</x:v>
      </x:c>
      <x:c r="C176" s="24" t="str">
        <x:v>9956a14c-2456-452f-8bdd-45ddd148086e</x:v>
      </x:c>
      <x:c r="D176" s="24" t="str">
        <x:v>数量关系</x:v>
      </x:c>
      <x:c r="E176" s="24" t="str">
        <x:v>2.0</x:v>
      </x:c>
      <x:c r="F176" s="24" t="str">
        <x:v>V2 / formula-board</x:v>
      </x:c>
      <x:c r="G176" s="24" t="n">
        <x:v>4</x:v>
      </x:c>
      <x:c r="H176" s="24" t="str">
        <x:v>14</x:v>
      </x:c>
      <x:c r="I176" s="24" t="str">
        <x:v>本轮未深审</x:v>
      </x:c>
      <x:c r="J176" s="24" t="str">
        <x:v>PENDING_AI_DEEP_REVIEW</x:v>
      </x:c>
      <x:c r="K176" s="24" t="str">
        <x:v>原始未动</x:v>
      </x:c>
      <x:c r="L176" s="24" t="str">
        <x:v>PENDING</x:v>
      </x:c>
      <x:c r="M176" s="24" t="str"/>
      <x:c r="N176" s="24" t="str"/>
      <x:c r="O176" s="24" t="str"/>
    </x:row>
    <x:row r="177" ht="34" customHeight="1">
      <x:c r="A177" s="24" t="n">
        <x:v>176</x:v>
      </x:c>
      <x:c r="B177" s="24" t="str">
        <x:v>[T155] V14-P0-054</x:v>
      </x:c>
      <x:c r="C177" s="24" t="str">
        <x:v>449175a1-15e8-48d6-828f-f5d271897341</x:v>
      </x:c>
      <x:c r="D177" s="24" t="str">
        <x:v>数量关系</x:v>
      </x:c>
      <x:c r="E177" s="24" t="str">
        <x:v>2.0</x:v>
      </x:c>
      <x:c r="F177" s="24" t="str">
        <x:v>V2 / column-arithmetic</x:v>
      </x:c>
      <x:c r="G177" s="24" t="n">
        <x:v>4</x:v>
      </x:c>
      <x:c r="H177" s="24" t="str">
        <x:v>52</x:v>
      </x:c>
      <x:c r="I177" s="24" t="str">
        <x:v>本轮未深审</x:v>
      </x:c>
      <x:c r="J177" s="24" t="str">
        <x:v>PENDING_AI_DEEP_REVIEW</x:v>
      </x:c>
      <x:c r="K177" s="24" t="str">
        <x:v>原始未动</x:v>
      </x:c>
      <x:c r="L177" s="24" t="str">
        <x:v>PENDING</x:v>
      </x:c>
      <x:c r="M177" s="24" t="str"/>
      <x:c r="N177" s="24" t="str"/>
      <x:c r="O177" s="24" t="str"/>
    </x:row>
    <x:row r="178" ht="34" customHeight="1">
      <x:c r="A178" s="24" t="n">
        <x:v>177</x:v>
      </x:c>
      <x:c r="B178" s="24" t="str">
        <x:v>[T155] V14-P0-069</x:v>
      </x:c>
      <x:c r="C178" s="24" t="str">
        <x:v>00186559-7273-40cc-9732-9def81ce9693</x:v>
      </x:c>
      <x:c r="D178" s="24" t="str">
        <x:v>数量关系</x:v>
      </x:c>
      <x:c r="E178" s="24" t="str">
        <x:v>2.0</x:v>
      </x:c>
      <x:c r="F178" s="24" t="str">
        <x:v>V2 / grouping-board</x:v>
      </x:c>
      <x:c r="G178" s="24" t="n">
        <x:v>4</x:v>
      </x:c>
      <x:c r="H178" s="24" t="str">
        <x:v>4</x:v>
      </x:c>
      <x:c r="I178" s="24" t="str">
        <x:v>本轮未深审</x:v>
      </x:c>
      <x:c r="J178" s="24" t="str">
        <x:v>PENDING_AI_DEEP_REVIEW</x:v>
      </x:c>
      <x:c r="K178" s="24" t="str">
        <x:v>原始未动</x:v>
      </x:c>
      <x:c r="L178" s="24" t="str">
        <x:v>PENDING</x:v>
      </x:c>
      <x:c r="M178" s="24" t="str"/>
      <x:c r="N178" s="24" t="str"/>
      <x:c r="O178" s="24" t="str"/>
    </x:row>
    <x:row r="179" ht="34" customHeight="1">
      <x:c r="A179" s="24" t="n">
        <x:v>178</x:v>
      </x:c>
      <x:c r="B179" s="24" t="str">
        <x:v>[T155] V14-P0-004</x:v>
      </x:c>
      <x:c r="C179" s="24" t="str">
        <x:v>d7a7c884-5ef7-4268-a949-d15031ce8012</x:v>
      </x:c>
      <x:c r="D179" s="24" t="str">
        <x:v>数量关系</x:v>
      </x:c>
      <x:c r="E179" s="24" t="str">
        <x:v>2.0</x:v>
      </x:c>
      <x:c r="F179" s="24" t="str">
        <x:v>V2 / object-counter</x:v>
      </x:c>
      <x:c r="G179" s="24" t="n">
        <x:v>4</x:v>
      </x:c>
      <x:c r="H179" s="24" t="str">
        <x:v>4</x:v>
      </x:c>
      <x:c r="I179" s="24" t="str">
        <x:v>本轮未深审</x:v>
      </x:c>
      <x:c r="J179" s="24" t="str">
        <x:v>PENDING_AI_DEEP_REVIEW</x:v>
      </x:c>
      <x:c r="K179" s="24" t="str">
        <x:v>原始未动</x:v>
      </x:c>
      <x:c r="L179" s="24" t="str">
        <x:v>PENDING</x:v>
      </x:c>
      <x:c r="M179" s="24" t="str"/>
      <x:c r="N179" s="24" t="str"/>
      <x:c r="O179" s="24" t="str"/>
    </x:row>
    <x:row r="180" ht="34" customHeight="1">
      <x:c r="A180" s="24" t="n">
        <x:v>179</x:v>
      </x:c>
      <x:c r="B180" s="24" t="str">
        <x:v>[T155] V14-P0-134</x:v>
      </x:c>
      <x:c r="C180" s="24" t="str">
        <x:v>031fb221-a20a-4e9d-aa29-0d23e8088f76</x:v>
      </x:c>
      <x:c r="D180" s="24" t="str">
        <x:v>数量关系</x:v>
      </x:c>
      <x:c r="E180" s="24" t="str">
        <x:v>2.0</x:v>
      </x:c>
      <x:c r="F180" s="24" t="str">
        <x:v>V2 / clock</x:v>
      </x:c>
      <x:c r="G180" s="24" t="n">
        <x:v>4</x:v>
      </x:c>
      <x:c r="H180" s="24" t="str">
        <x:v>300</x:v>
      </x:c>
      <x:c r="I180" s="24" t="str">
        <x:v>本轮未深审</x:v>
      </x:c>
      <x:c r="J180" s="24" t="str">
        <x:v>PENDING_AI_DEEP_REVIEW</x:v>
      </x:c>
      <x:c r="K180" s="24" t="str">
        <x:v>原始未动</x:v>
      </x:c>
      <x:c r="L180" s="24" t="str">
        <x:v>PENDING</x:v>
      </x:c>
      <x:c r="M180" s="24" t="str"/>
      <x:c r="N180" s="24" t="str"/>
      <x:c r="O180" s="24" t="str"/>
    </x:row>
    <x:row r="181" ht="34" customHeight="1">
      <x:c r="A181" s="24" t="n">
        <x:v>180</x:v>
      </x:c>
      <x:c r="B181" s="24" t="str">
        <x:v>[T155] V14-P0-030</x:v>
      </x:c>
      <x:c r="C181" s="24" t="str">
        <x:v>00ffa490-4a85-4b52-8287-682ce6f84cf3</x:v>
      </x:c>
      <x:c r="D181" s="24" t="str">
        <x:v>数量关系</x:v>
      </x:c>
      <x:c r="E181" s="24" t="str">
        <x:v>2.0</x:v>
      </x:c>
      <x:c r="F181" s="24" t="str">
        <x:v>V2 / number-input</x:v>
      </x:c>
      <x:c r="G181" s="24" t="n">
        <x:v>5</x:v>
      </x:c>
      <x:c r="H181" s="24" t="str">
        <x:v>27</x:v>
      </x:c>
      <x:c r="I181" s="24" t="str">
        <x:v>本轮未深审</x:v>
      </x:c>
      <x:c r="J181" s="24" t="str">
        <x:v>PENDING_AI_DEEP_REVIEW</x:v>
      </x:c>
      <x:c r="K181" s="24" t="str">
        <x:v>原始未动</x:v>
      </x:c>
      <x:c r="L181" s="24" t="str">
        <x:v>PENDING</x:v>
      </x:c>
      <x:c r="M181" s="24" t="str"/>
      <x:c r="N181" s="24" t="str"/>
      <x:c r="O181" s="24" t="str"/>
    </x:row>
    <x:row r="182" ht="34" customHeight="1">
      <x:c r="A182" s="24" t="n">
        <x:v>181</x:v>
      </x:c>
      <x:c r="B182" s="24" t="str">
        <x:v>[T155] V14-P0-050</x:v>
      </x:c>
      <x:c r="C182" s="24" t="str">
        <x:v>85ae828a-738e-4034-ac9d-3892558d7644</x:v>
      </x:c>
      <x:c r="D182" s="24" t="str">
        <x:v>数量关系</x:v>
      </x:c>
      <x:c r="E182" s="24" t="str">
        <x:v>2.0</x:v>
      </x:c>
      <x:c r="F182" s="24" t="str">
        <x:v>V2 / column-arithmetic</x:v>
      </x:c>
      <x:c r="G182" s="24" t="n">
        <x:v>5</x:v>
      </x:c>
      <x:c r="H182" s="24" t="str">
        <x:v>82</x:v>
      </x:c>
      <x:c r="I182" s="24" t="str">
        <x:v>本轮未深审</x:v>
      </x:c>
      <x:c r="J182" s="24" t="str">
        <x:v>PENDING_AI_DEEP_REVIEW</x:v>
      </x:c>
      <x:c r="K182" s="24" t="str">
        <x:v>原始未动</x:v>
      </x:c>
      <x:c r="L182" s="24" t="str">
        <x:v>PENDING</x:v>
      </x:c>
      <x:c r="M182" s="24" t="str"/>
      <x:c r="N182" s="24" t="str"/>
      <x:c r="O182" s="24" t="str"/>
    </x:row>
    <x:row r="183" ht="34" customHeight="1">
      <x:c r="A183" s="24" t="n">
        <x:v>182</x:v>
      </x:c>
      <x:c r="B183" s="24" t="str">
        <x:v>[T155] V14-P0-055</x:v>
      </x:c>
      <x:c r="C183" s="24" t="str">
        <x:v>b7aa864a-1014-4d9e-bf9d-4db4d34dddeb</x:v>
      </x:c>
      <x:c r="D183" s="24" t="str">
        <x:v>数量关系</x:v>
      </x:c>
      <x:c r="E183" s="24" t="str">
        <x:v>2.0</x:v>
      </x:c>
      <x:c r="F183" s="24" t="str">
        <x:v>V2 / column-arithmetic</x:v>
      </x:c>
      <x:c r="G183" s="24" t="n">
        <x:v>5</x:v>
      </x:c>
      <x:c r="H183" s="24" t="str">
        <x:v>74</x:v>
      </x:c>
      <x:c r="I183" s="24" t="str">
        <x:v>本轮未深审</x:v>
      </x:c>
      <x:c r="J183" s="24" t="str">
        <x:v>PENDING_AI_DEEP_REVIEW</x:v>
      </x:c>
      <x:c r="K183" s="24" t="str">
        <x:v>原始未动</x:v>
      </x:c>
      <x:c r="L183" s="24" t="str">
        <x:v>PENDING</x:v>
      </x:c>
      <x:c r="M183" s="24" t="str"/>
      <x:c r="N183" s="24" t="str"/>
      <x:c r="O183" s="24" t="str"/>
    </x:row>
    <x:row r="184" ht="34" customHeight="1">
      <x:c r="A184" s="24" t="n">
        <x:v>183</x:v>
      </x:c>
      <x:c r="B184" s="24" t="str">
        <x:v>[T155] V14-P0-070</x:v>
      </x:c>
      <x:c r="C184" s="24" t="str">
        <x:v>e862472c-c259-4a95-93e8-cb08d4a8adb3</x:v>
      </x:c>
      <x:c r="D184" s="24" t="str">
        <x:v>数量关系</x:v>
      </x:c>
      <x:c r="E184" s="24" t="str">
        <x:v>2.0</x:v>
      </x:c>
      <x:c r="F184" s="24" t="str">
        <x:v>V2 / grouping-board</x:v>
      </x:c>
      <x:c r="G184" s="24" t="n">
        <x:v>5</x:v>
      </x:c>
      <x:c r="H184" s="24" t="str">
        <x:v>7</x:v>
      </x:c>
      <x:c r="I184" s="24" t="str">
        <x:v>本轮未深审</x:v>
      </x:c>
      <x:c r="J184" s="24" t="str">
        <x:v>PENDING_AI_DEEP_REVIEW</x:v>
      </x:c>
      <x:c r="K184" s="24" t="str">
        <x:v>原始未动</x:v>
      </x:c>
      <x:c r="L184" s="24" t="str">
        <x:v>PENDING</x:v>
      </x:c>
      <x:c r="M184" s="24" t="str"/>
      <x:c r="N184" s="24" t="str"/>
      <x:c r="O184" s="24" t="str"/>
    </x:row>
    <x:row r="185" ht="34" customHeight="1">
      <x:c r="A185" s="24" t="n">
        <x:v>184</x:v>
      </x:c>
      <x:c r="B185" s="24" t="str">
        <x:v>[T155] V14-P0-015</x:v>
      </x:c>
      <x:c r="C185" s="24" t="str">
        <x:v>aada65e9-d3a9-4f9e-9ef0-4f101f95dc0e</x:v>
      </x:c>
      <x:c r="D185" s="24" t="str">
        <x:v>数量关系</x:v>
      </x:c>
      <x:c r="E185" s="24" t="str">
        <x:v>2.0</x:v>
      </x:c>
      <x:c r="F185" s="24" t="str">
        <x:v>V2 / bar-model</x:v>
      </x:c>
      <x:c r="G185" s="24" t="n">
        <x:v>5</x:v>
      </x:c>
      <x:c r="H185" s="24" t="str">
        <x:v>20</x:v>
      </x:c>
      <x:c r="I185" s="24" t="str">
        <x:v>本轮未深审</x:v>
      </x:c>
      <x:c r="J185" s="24" t="str">
        <x:v>PENDING_AI_DEEP_REVIEW</x:v>
      </x:c>
      <x:c r="K185" s="24" t="str">
        <x:v>原始未动</x:v>
      </x:c>
      <x:c r="L185" s="24" t="str">
        <x:v>PENDING</x:v>
      </x:c>
      <x:c r="M185" s="24" t="str"/>
      <x:c r="N185" s="24" t="str"/>
      <x:c r="O185" s="24" t="str"/>
    </x:row>
    <x:row r="186" ht="34" customHeight="1">
      <x:c r="A186" s="24" t="n">
        <x:v>185</x:v>
      </x:c>
      <x:c r="B186" s="24" t="str">
        <x:v>[T155] V14-P0-065</x:v>
      </x:c>
      <x:c r="C186" s="24" t="str">
        <x:v>1ee68418-9767-4330-8b36-42961fb06969</x:v>
      </x:c>
      <x:c r="D186" s="24" t="str">
        <x:v>数量关系</x:v>
      </x:c>
      <x:c r="E186" s="24" t="str">
        <x:v>2.0</x:v>
      </x:c>
      <x:c r="F186" s="24" t="str">
        <x:v>V2 / grouping-board</x:v>
      </x:c>
      <x:c r="G186" s="24" t="n">
        <x:v>5</x:v>
      </x:c>
      <x:c r="H186" s="24" t="str">
        <x:v>3</x:v>
      </x:c>
      <x:c r="I186" s="24" t="str">
        <x:v>本轮未深审</x:v>
      </x:c>
      <x:c r="J186" s="24" t="str">
        <x:v>PENDING_AI_DEEP_REVIEW</x:v>
      </x:c>
      <x:c r="K186" s="24" t="str">
        <x:v>原始未动</x:v>
      </x:c>
      <x:c r="L186" s="24" t="str">
        <x:v>PENDING</x:v>
      </x:c>
      <x:c r="M186" s="24" t="str"/>
      <x:c r="N186" s="24" t="str"/>
      <x:c r="O186" s="24" t="str"/>
    </x:row>
    <x:row r="187" ht="34" customHeight="1">
      <x:c r="A187" s="24" t="n">
        <x:v>186</x:v>
      </x:c>
      <x:c r="B187" s="24" t="str">
        <x:v>[T155] V14-P0-130</x:v>
      </x:c>
      <x:c r="C187" s="24" t="str">
        <x:v>2fb04eae-10c5-476f-94d4-62fe24cead98</x:v>
      </x:c>
      <x:c r="D187" s="24" t="str">
        <x:v>数量关系</x:v>
      </x:c>
      <x:c r="E187" s="24" t="str">
        <x:v>2.0</x:v>
      </x:c>
      <x:c r="F187" s="24" t="str">
        <x:v>V2 / clock</x:v>
      </x:c>
      <x:c r="G187" s="24" t="n">
        <x:v>5</x:v>
      </x:c>
      <x:c r="H187" s="24" t="str">
        <x:v>540</x:v>
      </x:c>
      <x:c r="I187" s="24" t="str">
        <x:v>本轮未深审</x:v>
      </x:c>
      <x:c r="J187" s="24" t="str">
        <x:v>PENDING_AI_DEEP_REVIEW</x:v>
      </x:c>
      <x:c r="K187" s="24" t="str">
        <x:v>原始未动</x:v>
      </x:c>
      <x:c r="L187" s="24" t="str">
        <x:v>PENDING</x:v>
      </x:c>
      <x:c r="M187" s="24" t="str"/>
      <x:c r="N187" s="24" t="str"/>
      <x:c r="O187" s="24" t="str"/>
    </x:row>
    <x:row r="188" ht="34" customHeight="1">
      <x:c r="A188" s="24" t="n">
        <x:v>187</x:v>
      </x:c>
      <x:c r="B188" s="24" t="str">
        <x:v>[T155] V14-P0-080</x:v>
      </x:c>
      <x:c r="C188" s="24" t="str">
        <x:v>acc96418-2ca5-434e-8781-01f19257074c</x:v>
      </x:c>
      <x:c r="D188" s="24" t="str">
        <x:v>数量关系</x:v>
      </x:c>
      <x:c r="E188" s="24" t="str">
        <x:v>2.0</x:v>
      </x:c>
      <x:c r="F188" s="24" t="str">
        <x:v>V2 / formula-board</x:v>
      </x:c>
      <x:c r="G188" s="24" t="n">
        <x:v>5</x:v>
      </x:c>
      <x:c r="H188" s="24" t="str">
        <x:v>8</x:v>
      </x:c>
      <x:c r="I188" s="24" t="str">
        <x:v>本轮未深审</x:v>
      </x:c>
      <x:c r="J188" s="24" t="str">
        <x:v>PENDING_AI_DEEP_REVIEW</x:v>
      </x:c>
      <x:c r="K188" s="24" t="str">
        <x:v>原始未动</x:v>
      </x:c>
      <x:c r="L188" s="24" t="str">
        <x:v>PENDING</x:v>
      </x:c>
      <x:c r="M188" s="24" t="str"/>
      <x:c r="N188" s="24" t="str"/>
      <x:c r="O188" s="24" t="str"/>
    </x:row>
    <x:row r="189" ht="34" customHeight="1">
      <x:c r="A189" s="24" t="n">
        <x:v>188</x:v>
      </x:c>
      <x:c r="B189" s="24" t="str">
        <x:v>来了以后怎么求</x:v>
      </x:c>
      <x:c r="C189" s="24" t="str">
        <x:v>0176dc73-eb37-417f-add4-e9e97e058b0a</x:v>
      </x:c>
      <x:c r="D189" s="24" t="str">
        <x:v>策略选择</x:v>
      </x:c>
      <x:c r="E189" s="24" t="str">
        <x:v>1.0</x:v>
      </x:c>
      <x:c r="F189" s="24" t="str">
        <x:v>V1 / number-line</x:v>
      </x:c>
      <x:c r="G189" s="24" t="n">
        <x:v>1</x:v>
      </x:c>
      <x:c r="H189" s="24" t="str">
        <x:v>8</x:v>
      </x:c>
      <x:c r="I189" s="24" t="str">
        <x:v>重点逐题预审</x:v>
      </x:c>
      <x:c r="J189" s="24" t="str">
        <x:v>REVISION_REQUIRED</x:v>
      </x:c>
      <x:c r="K189" s="24" t="str">
        <x:v>原始未动</x:v>
      </x:c>
      <x:c r="L189" s="24" t="str">
        <x:v>PENDING</x:v>
      </x:c>
      <x:c r="M189" s="24" t="str"/>
      <x:c r="N189" s="24" t="str"/>
      <x:c r="O189" s="24" t="str"/>
    </x:row>
    <x:row r="190" ht="34" customHeight="1">
      <x:c r="A190" s="24" t="n">
        <x:v>189</x:v>
      </x:c>
      <x:c r="B190" s="24" t="str">
        <x:v>吃掉以后怎么求</x:v>
      </x:c>
      <x:c r="C190" s="24" t="str">
        <x:v>dc1f2a1c-b719-45f7-95b5-d30cdb42b070</x:v>
      </x:c>
      <x:c r="D190" s="24" t="str">
        <x:v>策略选择</x:v>
      </x:c>
      <x:c r="E190" s="24" t="str">
        <x:v>1.0</x:v>
      </x:c>
      <x:c r="F190" s="24" t="str">
        <x:v>V1 / number-line</x:v>
      </x:c>
      <x:c r="G190" s="24" t="n">
        <x:v>1</x:v>
      </x:c>
      <x:c r="H190" s="24" t="str">
        <x:v>6</x:v>
      </x:c>
      <x:c r="I190" s="24" t="str">
        <x:v>重点逐题预审</x:v>
      </x:c>
      <x:c r="J190" s="24" t="str">
        <x:v>REVISION_REQUIRED</x:v>
      </x:c>
      <x:c r="K190" s="24" t="str">
        <x:v>原始未动</x:v>
      </x:c>
      <x:c r="L190" s="24" t="str">
        <x:v>PENDING</x:v>
      </x:c>
      <x:c r="M190" s="24" t="str"/>
      <x:c r="N190" s="24" t="str"/>
      <x:c r="O190" s="24" t="str"/>
    </x:row>
    <x:row r="191" ht="34" customHeight="1">
      <x:c r="A191" s="24" t="n">
        <x:v>190</x:v>
      </x:c>
      <x:c r="B191" s="24" t="str">
        <x:v>相差多少用什么方法</x:v>
      </x:c>
      <x:c r="C191" s="24" t="str">
        <x:v>cfc971b4-002f-42c3-8b00-993784a4f9ff</x:v>
      </x:c>
      <x:c r="D191" s="24" t="str">
        <x:v>策略选择</x:v>
      </x:c>
      <x:c r="E191" s="24" t="str">
        <x:v>1.0</x:v>
      </x:c>
      <x:c r="F191" s="24" t="str">
        <x:v>V1 / objects</x:v>
      </x:c>
      <x:c r="G191" s="24" t="n">
        <x:v>1</x:v>
      </x:c>
      <x:c r="H191" s="24" t="str">
        <x:v>3</x:v>
      </x:c>
      <x:c r="I191" s="24" t="str">
        <x:v>重点逐题预审</x:v>
      </x:c>
      <x:c r="J191" s="24" t="str">
        <x:v>REVISION_REQUIRED</x:v>
      </x:c>
      <x:c r="K191" s="24" t="str">
        <x:v>原始未动</x:v>
      </x:c>
      <x:c r="L191" s="24" t="str">
        <x:v>PENDING</x:v>
      </x:c>
      <x:c r="M191" s="24" t="str"/>
      <x:c r="N191" s="24" t="str"/>
      <x:c r="O191" s="24" t="str"/>
    </x:row>
    <x:row r="192" ht="34" customHeight="1">
      <x:c r="A192" s="24" t="n">
        <x:v>191</x:v>
      </x:c>
      <x:c r="B192" s="24" t="str">
        <x:v>[T155] V14-P0-036</x:v>
      </x:c>
      <x:c r="C192" s="24" t="str">
        <x:v>2c46c271-1a2f-4f45-ad3c-b5719ad58ded</x:v>
      </x:c>
      <x:c r="D192" s="24" t="str">
        <x:v>策略选择</x:v>
      </x:c>
      <x:c r="E192" s="24" t="str">
        <x:v>2.0</x:v>
      </x:c>
      <x:c r="F192" s="24" t="str">
        <x:v>V2 / place-value</x:v>
      </x:c>
      <x:c r="G192" s="24" t="n">
        <x:v>1</x:v>
      </x:c>
      <x:c r="H192" s="24" t="str">
        <x:v>305</x:v>
      </x:c>
      <x:c r="I192" s="24" t="str">
        <x:v>重点逐题预审</x:v>
      </x:c>
      <x:c r="J192" s="24" t="str">
        <x:v>REVISION_REQUIRED</x:v>
      </x:c>
      <x:c r="K192" s="24" t="str">
        <x:v>原始未动</x:v>
      </x:c>
      <x:c r="L192" s="24" t="str">
        <x:v>PENDING</x:v>
      </x:c>
      <x:c r="M192" s="24" t="str"/>
      <x:c r="N192" s="24" t="str"/>
      <x:c r="O192" s="24" t="str"/>
    </x:row>
    <x:row r="193" ht="34" customHeight="1">
      <x:c r="A193" s="24" t="n">
        <x:v>192</x:v>
      </x:c>
      <x:c r="B193" s="24" t="str">
        <x:v>知道整体找另一部分</x:v>
      </x:c>
      <x:c r="C193" s="24" t="str">
        <x:v>f5fb6594-862e-4dfe-9f19-723b1eed7ea6</x:v>
      </x:c>
      <x:c r="D193" s="24" t="str">
        <x:v>策略选择</x:v>
      </x:c>
      <x:c r="E193" s="24" t="str">
        <x:v>1.0</x:v>
      </x:c>
      <x:c r="F193" s="24" t="str">
        <x:v>V1 / bar-model</x:v>
      </x:c>
      <x:c r="G193" s="24" t="n">
        <x:v>2</x:v>
      </x:c>
      <x:c r="H193" s="24" t="str">
        <x:v>9</x:v>
      </x:c>
      <x:c r="I193" s="24" t="str">
        <x:v>重点逐题预审</x:v>
      </x:c>
      <x:c r="J193" s="24" t="str">
        <x:v>REVISION_REQUIRED</x:v>
      </x:c>
      <x:c r="K193" s="24" t="str">
        <x:v>原始未动</x:v>
      </x:c>
      <x:c r="L193" s="24" t="str">
        <x:v>PENDING</x:v>
      </x:c>
      <x:c r="M193" s="24" t="str"/>
      <x:c r="N193" s="24" t="str"/>
      <x:c r="O193" s="24" t="str"/>
    </x:row>
    <x:row r="194" ht="34" customHeight="1">
      <x:c r="A194" s="24" t="n">
        <x:v>193</x:v>
      </x:c>
      <x:c r="B194" s="24" t="str">
        <x:v>比我多要怎样算</x:v>
      </x:c>
      <x:c r="C194" s="24" t="str">
        <x:v>c07482bb-8a60-4b18-b3c1-25532a77a339</x:v>
      </x:c>
      <x:c r="D194" s="24" t="str">
        <x:v>策略选择</x:v>
      </x:c>
      <x:c r="E194" s="24" t="str">
        <x:v>1.0</x:v>
      </x:c>
      <x:c r="F194" s="24" t="str">
        <x:v>V1 / bar-model</x:v>
      </x:c>
      <x:c r="G194" s="24" t="n">
        <x:v>2</x:v>
      </x:c>
      <x:c r="H194" s="24" t="str">
        <x:v>11</x:v>
      </x:c>
      <x:c r="I194" s="24" t="str">
        <x:v>重点逐题预审</x:v>
      </x:c>
      <x:c r="J194" s="24" t="str">
        <x:v>REVISION_REQUIRED</x:v>
      </x:c>
      <x:c r="K194" s="24" t="str">
        <x:v>原始未动</x:v>
      </x:c>
      <x:c r="L194" s="24" t="str">
        <x:v>PENDING</x:v>
      </x:c>
      <x:c r="M194" s="24" t="str"/>
      <x:c r="N194" s="24" t="str"/>
      <x:c r="O194" s="24" t="str"/>
    </x:row>
    <x:row r="195" ht="34" customHeight="1">
      <x:c r="A195" s="24" t="n">
        <x:v>194</x:v>
      </x:c>
      <x:c r="B195" s="24" t="str">
        <x:v>知道多的找少的</x:v>
      </x:c>
      <x:c r="C195" s="24" t="str">
        <x:v>8612589b-80dd-4ac7-8658-c241b8d45153</x:v>
      </x:c>
      <x:c r="D195" s="24" t="str">
        <x:v>策略选择</x:v>
      </x:c>
      <x:c r="E195" s="24" t="str">
        <x:v>1.0</x:v>
      </x:c>
      <x:c r="F195" s="24" t="str">
        <x:v>V1 / bar-model</x:v>
      </x:c>
      <x:c r="G195" s="24" t="n">
        <x:v>2</x:v>
      </x:c>
      <x:c r="H195" s="24" t="str">
        <x:v>7</x:v>
      </x:c>
      <x:c r="I195" s="24" t="str">
        <x:v>重点逐题预审</x:v>
      </x:c>
      <x:c r="J195" s="24" t="str">
        <x:v>REVISION_REQUIRED</x:v>
      </x:c>
      <x:c r="K195" s="24" t="str">
        <x:v>原始未动</x:v>
      </x:c>
      <x:c r="L195" s="24" t="str">
        <x:v>PENDING</x:v>
      </x:c>
      <x:c r="M195" s="24" t="str"/>
      <x:c r="N195" s="24" t="str"/>
      <x:c r="O195" s="24" t="str"/>
    </x:row>
    <x:row r="196" ht="34" customHeight="1">
      <x:c r="A196" s="24" t="n">
        <x:v>195</x:v>
      </x:c>
      <x:c r="B196" s="24" t="str">
        <x:v>方框里藏了几（V2 链 R10）</x:v>
      </x:c>
      <x:c r="C196" s="24" t="str">
        <x:v>6a66010c-3b59-4322-8717-b841402f17ad</x:v>
      </x:c>
      <x:c r="D196" s="24" t="str">
        <x:v>策略选择</x:v>
      </x:c>
      <x:c r="E196" s="24" t="str">
        <x:v>2.0</x:v>
      </x:c>
      <x:c r="F196" s="24" t="str">
        <x:v>V2 / formula-board</x:v>
      </x:c>
      <x:c r="G196" s="24" t="n">
        <x:v>2</x:v>
      </x:c>
      <x:c r="H196" s="24" t="str">
        <x:v>5</x:v>
      </x:c>
      <x:c r="I196" s="24" t="str">
        <x:v>重点逐题预审</x:v>
      </x:c>
      <x:c r="J196" s="24" t="str">
        <x:v>REVISION_REQUIRED</x:v>
      </x:c>
      <x:c r="K196" s="24" t="str">
        <x:v>原始未动</x:v>
      </x:c>
      <x:c r="L196" s="24" t="str">
        <x:v>PENDING</x:v>
      </x:c>
      <x:c r="M196" s="24" t="str"/>
      <x:c r="N196" s="24" t="str"/>
      <x:c r="O196" s="24" t="str"/>
    </x:row>
    <x:row r="197" ht="34" customHeight="1">
      <x:c r="A197" s="24" t="n">
        <x:v>196</x:v>
      </x:c>
      <x:c r="B197" s="24" t="str">
        <x:v>加号还是减号（V2 链 R10）</x:v>
      </x:c>
      <x:c r="C197" s="24" t="str">
        <x:v>7f1ff763-3633-42ca-93f9-a556d3dc6267</x:v>
      </x:c>
      <x:c r="D197" s="24" t="str">
        <x:v>策略选择</x:v>
      </x:c>
      <x:c r="E197" s="24" t="str">
        <x:v>2.0</x:v>
      </x:c>
      <x:c r="F197" s="24" t="str">
        <x:v>V2 / formula-board</x:v>
      </x:c>
      <x:c r="G197" s="24" t="n">
        <x:v>2</x:v>
      </x:c>
      <x:c r="H197" s="24" t="str">
        <x:v>-</x:v>
      </x:c>
      <x:c r="I197" s="24" t="str">
        <x:v>重点逐题预审</x:v>
      </x:c>
      <x:c r="J197" s="24" t="str">
        <x:v>APPROVED_CANDIDATE</x:v>
      </x:c>
      <x:c r="K197" s="24" t="str">
        <x:v>原始未动</x:v>
      </x:c>
      <x:c r="L197" s="24" t="str">
        <x:v>PENDING</x:v>
      </x:c>
      <x:c r="M197" s="24" t="str"/>
      <x:c r="N197" s="24" t="str"/>
      <x:c r="O197" s="24" t="str"/>
    </x:row>
    <x:row r="198" ht="34" customHeight="1">
      <x:c r="A198" s="24" t="n">
        <x:v>197</x:v>
      </x:c>
      <x:c r="B198" s="24" t="str">
        <x:v>给练习本付钱</x:v>
      </x:c>
      <x:c r="C198" s="24" t="str">
        <x:v>b978d294-7ea5-4670-8538-3c04c2113536</x:v>
      </x:c>
      <x:c r="D198" s="24" t="str">
        <x:v>策略选择</x:v>
      </x:c>
      <x:c r="E198" s="24" t="str">
        <x:v>2.0</x:v>
      </x:c>
      <x:c r="F198" s="24" t="str">
        <x:v>V2 / money-board</x:v>
      </x:c>
      <x:c r="G198" s="24" t="n">
        <x:v>2</x:v>
      </x:c>
      <x:c r="H198" s="24" t="str">
        <x:v>35</x:v>
      </x:c>
      <x:c r="I198" s="24" t="str">
        <x:v>重点逐题预审</x:v>
      </x:c>
      <x:c r="J198" s="24" t="str">
        <x:v>REVISION_REQUIRED</x:v>
      </x:c>
      <x:c r="K198" s="24" t="str">
        <x:v>原始未动</x:v>
      </x:c>
      <x:c r="L198" s="24" t="str">
        <x:v>PENDING</x:v>
      </x:c>
      <x:c r="M198" s="24" t="str"/>
      <x:c r="N198" s="24" t="str"/>
      <x:c r="O198" s="24" t="str"/>
    </x:row>
    <x:row r="199" ht="34" customHeight="1">
      <x:c r="A199" s="24" t="n">
        <x:v>198</x:v>
      </x:c>
      <x:c r="B199" s="24" t="str">
        <x:v>[T155] V14-P0-087</x:v>
      </x:c>
      <x:c r="C199" s="24" t="str">
        <x:v>49cd865c-c8eb-481f-a013-b7ee1c26896b</x:v>
      </x:c>
      <x:c r="D199" s="24" t="str">
        <x:v>策略选择</x:v>
      </x:c>
      <x:c r="E199" s="24" t="str">
        <x:v>2.0</x:v>
      </x:c>
      <x:c r="F199" s="24" t="str">
        <x:v>V2 / estimation-canvas</x:v>
      </x:c>
      <x:c r="G199" s="24" t="n">
        <x:v>2</x:v>
      </x:c>
      <x:c r="H199" s="24" t="str">
        <x:v>40</x:v>
      </x:c>
      <x:c r="I199" s="24" t="str">
        <x:v>重点逐题预审</x:v>
      </x:c>
      <x:c r="J199" s="24" t="str">
        <x:v>REVISION_REQUIRED</x:v>
      </x:c>
      <x:c r="K199" s="24" t="str">
        <x:v>原始未动</x:v>
      </x:c>
      <x:c r="L199" s="24" t="str">
        <x:v>PENDING</x:v>
      </x:c>
      <x:c r="M199" s="24" t="str"/>
      <x:c r="N199" s="24" t="str"/>
      <x:c r="O199" s="24" t="str"/>
    </x:row>
    <x:row r="200" ht="34" customHeight="1">
      <x:c r="A200" s="24" t="n">
        <x:v>199</x:v>
      </x:c>
      <x:c r="B200" s="24" t="str">
        <x:v>[T155] V14-P0-047</x:v>
      </x:c>
      <x:c r="C200" s="24" t="str">
        <x:v>cdcc6e30-50f2-4efb-a5c8-06b373d8c797</x:v>
      </x:c>
      <x:c r="D200" s="24" t="str">
        <x:v>策略选择</x:v>
      </x:c>
      <x:c r="E200" s="24" t="str">
        <x:v>2.0</x:v>
      </x:c>
      <x:c r="F200" s="24" t="str">
        <x:v>V2 / ten-frame</x:v>
      </x:c>
      <x:c r="G200" s="24" t="n">
        <x:v>2</x:v>
      </x:c>
      <x:c r="H200" s="24" t="str">
        <x:v>10</x:v>
      </x:c>
      <x:c r="I200" s="24" t="str">
        <x:v>重点逐题预审</x:v>
      </x:c>
      <x:c r="J200" s="24" t="str">
        <x:v>REVISION_REQUIRED</x:v>
      </x:c>
      <x:c r="K200" s="24" t="str">
        <x:v>原始未动</x:v>
      </x:c>
      <x:c r="L200" s="24" t="str">
        <x:v>PENDING</x:v>
      </x:c>
      <x:c r="M200" s="24" t="str"/>
      <x:c r="N200" s="24" t="str"/>
      <x:c r="O200" s="24" t="str"/>
    </x:row>
    <x:row r="201" ht="34" customHeight="1">
      <x:c r="A201" s="24" t="n">
        <x:v>200</x:v>
      </x:c>
      <x:c r="B201" s="24" t="str">
        <x:v>[T155] V14-P0-142</x:v>
      </x:c>
      <x:c r="C201" s="24" t="str">
        <x:v>9ab5d643-bd5b-4a77-8f22-f963d2b2ad84</x:v>
      </x:c>
      <x:c r="D201" s="24" t="str">
        <x:v>策略选择</x:v>
      </x:c>
      <x:c r="E201" s="24" t="str">
        <x:v>2.0</x:v>
      </x:c>
      <x:c r="F201" s="24" t="str">
        <x:v>V2 / money-board</x:v>
      </x:c>
      <x:c r="G201" s="24" t="n">
        <x:v>2</x:v>
      </x:c>
      <x:c r="H201" s="24" t="str">
        <x:v>25</x:v>
      </x:c>
      <x:c r="I201" s="24" t="str">
        <x:v>重点逐题预审</x:v>
      </x:c>
      <x:c r="J201" s="24" t="str">
        <x:v>REVISION_REQUIRED</x:v>
      </x:c>
      <x:c r="K201" s="24" t="str">
        <x:v>原始未动</x:v>
      </x:c>
      <x:c r="L201" s="24" t="str">
        <x:v>PENDING</x:v>
      </x:c>
      <x:c r="M201" s="24" t="str"/>
      <x:c r="N201" s="24" t="str"/>
      <x:c r="O201" s="24" t="str"/>
    </x:row>
    <x:row r="202" ht="34" customHeight="1">
      <x:c r="A202" s="24" t="n">
        <x:v>201</x:v>
      </x:c>
      <x:c r="B202" s="24" t="str">
        <x:v>原来有多少</x:v>
      </x:c>
      <x:c r="C202" s="24" t="str">
        <x:v>79acf485-2a4e-44e7-bdac-812cc1359b40</x:v>
      </x:c>
      <x:c r="D202" s="24" t="str">
        <x:v>策略选择</x:v>
      </x:c>
      <x:c r="E202" s="24" t="str">
        <x:v>1.0</x:v>
      </x:c>
      <x:c r="F202" s="24" t="str">
        <x:v>V1 / number-line</x:v>
      </x:c>
      <x:c r="G202" s="24" t="n">
        <x:v>3</x:v>
      </x:c>
      <x:c r="H202" s="24" t="str">
        <x:v>11</x:v>
      </x:c>
      <x:c r="I202" s="24" t="str">
        <x:v>重点逐题预审</x:v>
      </x:c>
      <x:c r="J202" s="24" t="str">
        <x:v>REVISION_REQUIRED</x:v>
      </x:c>
      <x:c r="K202" s="24" t="str">
        <x:v>原始未动</x:v>
      </x:c>
      <x:c r="L202" s="24" t="str">
        <x:v>PENDING</x:v>
      </x:c>
      <x:c r="M202" s="24" t="str"/>
      <x:c r="N202" s="24" t="str"/>
      <x:c r="O202" s="24" t="str"/>
    </x:row>
    <x:row r="203" ht="34" customHeight="1">
      <x:c r="A203" s="24" t="n">
        <x:v>202</x:v>
      </x:c>
      <x:c r="B203" s="24" t="str">
        <x:v>换个角度看比较</x:v>
      </x:c>
      <x:c r="C203" s="24" t="str">
        <x:v>04f97cb8-b918-4836-bf06-c39d8613fe0e</x:v>
      </x:c>
      <x:c r="D203" s="24" t="str">
        <x:v>策略选择</x:v>
      </x:c>
      <x:c r="E203" s="24" t="str">
        <x:v>1.0</x:v>
      </x:c>
      <x:c r="F203" s="24" t="str">
        <x:v>V1 / bar-model</x:v>
      </x:c>
      <x:c r="G203" s="24" t="n">
        <x:v>3</x:v>
      </x:c>
      <x:c r="H203" s="24" t="str">
        <x:v>11</x:v>
      </x:c>
      <x:c r="I203" s="24" t="str">
        <x:v>重点逐题预审</x:v>
      </x:c>
      <x:c r="J203" s="24" t="str">
        <x:v>REVISION_REQUIRED</x:v>
      </x:c>
      <x:c r="K203" s="24" t="str">
        <x:v>原始未动</x:v>
      </x:c>
      <x:c r="L203" s="24" t="str">
        <x:v>PENDING</x:v>
      </x:c>
      <x:c r="M203" s="24" t="str"/>
      <x:c r="N203" s="24" t="str"/>
      <x:c r="O203" s="24" t="str"/>
    </x:row>
    <x:row r="204" ht="34" customHeight="1">
      <x:c r="A204" s="24" t="n">
        <x:v>203</x:v>
      </x:c>
      <x:c r="B204" s="24" t="str">
        <x:v>[T155] V14-P0-073</x:v>
      </x:c>
      <x:c r="C204" s="24" t="str">
        <x:v>e29e7012-306b-494a-8633-cfd56537adcd</x:v>
      </x:c>
      <x:c r="D204" s="24" t="str">
        <x:v>策略选择</x:v>
      </x:c>
      <x:c r="E204" s="24" t="str">
        <x:v>2.0</x:v>
      </x:c>
      <x:c r="F204" s="24" t="str">
        <x:v>V2 / formula-board</x:v>
      </x:c>
      <x:c r="G204" s="24" t="n">
        <x:v>3</x:v>
      </x:c>
      <x:c r="H204" s="24" t="str">
        <x:v>5</x:v>
      </x:c>
      <x:c r="I204" s="24" t="str">
        <x:v>重点逐题预审</x:v>
      </x:c>
      <x:c r="J204" s="24" t="str">
        <x:v>REVISION_REQUIRED</x:v>
      </x:c>
      <x:c r="K204" s="24" t="str">
        <x:v>原始未动</x:v>
      </x:c>
      <x:c r="L204" s="24" t="str">
        <x:v>PENDING</x:v>
      </x:c>
      <x:c r="M204" s="24" t="str"/>
      <x:c r="N204" s="24" t="str"/>
      <x:c r="O204" s="24" t="str"/>
    </x:row>
    <x:row r="205" ht="34" customHeight="1">
      <x:c r="A205" s="24" t="n">
        <x:v>204</x:v>
      </x:c>
      <x:c r="B205" s="24" t="str">
        <x:v>[T155] V14-P0-143</x:v>
      </x:c>
      <x:c r="C205" s="24" t="str">
        <x:v>2ff4a288-9db7-4945-9ff8-db00eccaacdb</x:v>
      </x:c>
      <x:c r="D205" s="24" t="str">
        <x:v>策略选择</x:v>
      </x:c>
      <x:c r="E205" s="24" t="str">
        <x:v>2.0</x:v>
      </x:c>
      <x:c r="F205" s="24" t="str">
        <x:v>V2 / money-board</x:v>
      </x:c>
      <x:c r="G205" s="24" t="n">
        <x:v>3</x:v>
      </x:c>
      <x:c r="H205" s="24" t="str">
        <x:v>35</x:v>
      </x:c>
      <x:c r="I205" s="24" t="str">
        <x:v>重点逐题预审</x:v>
      </x:c>
      <x:c r="J205" s="24" t="str">
        <x:v>REVISION_REQUIRED</x:v>
      </x:c>
      <x:c r="K205" s="24" t="str">
        <x:v>原始未动</x:v>
      </x:c>
      <x:c r="L205" s="24" t="str">
        <x:v>PENDING</x:v>
      </x:c>
      <x:c r="M205" s="24" t="str"/>
      <x:c r="N205" s="24" t="str"/>
      <x:c r="O205" s="24" t="str"/>
    </x:row>
    <x:row r="206" ht="34" customHeight="1">
      <x:c r="A206" s="24" t="n">
        <x:v>205</x:v>
      </x:c>
      <x:c r="B206" s="24" t="str">
        <x:v>[T155] V14-P0-083</x:v>
      </x:c>
      <x:c r="C206" s="24" t="str">
        <x:v>46b80862-2973-4737-a4bc-dbfdab4dae83</x:v>
      </x:c>
      <x:c r="D206" s="24" t="str">
        <x:v>策略选择</x:v>
      </x:c>
      <x:c r="E206" s="24" t="str">
        <x:v>2.0</x:v>
      </x:c>
      <x:c r="F206" s="24" t="str">
        <x:v>V2 / estimation-canvas</x:v>
      </x:c>
      <x:c r="G206" s="24" t="n">
        <x:v>3</x:v>
      </x:c>
      <x:c r="H206" s="24" t="str">
        <x:v>50</x:v>
      </x:c>
      <x:c r="I206" s="24" t="str">
        <x:v>重点逐题预审</x:v>
      </x:c>
      <x:c r="J206" s="24" t="str">
        <x:v>REVISION_REQUIRED</x:v>
      </x:c>
      <x:c r="K206" s="24" t="str">
        <x:v>原始未动</x:v>
      </x:c>
      <x:c r="L206" s="24" t="str">
        <x:v>PENDING</x:v>
      </x:c>
      <x:c r="M206" s="24" t="str"/>
      <x:c r="N206" s="24" t="str"/>
      <x:c r="O206" s="24" t="str"/>
    </x:row>
    <x:row r="207" ht="34" customHeight="1">
      <x:c r="A207" s="24" t="n">
        <x:v>206</x:v>
      </x:c>
      <x:c r="B207" s="24" t="str">
        <x:v>[T155] V14-P0-138</x:v>
      </x:c>
      <x:c r="C207" s="24" t="str">
        <x:v>1716d898-506d-4428-a9de-664bc60b528e</x:v>
      </x:c>
      <x:c r="D207" s="24" t="str">
        <x:v>策略选择</x:v>
      </x:c>
      <x:c r="E207" s="24" t="str">
        <x:v>2.0</x:v>
      </x:c>
      <x:c r="F207" s="24" t="str">
        <x:v>V2 / money-board</x:v>
      </x:c>
      <x:c r="G207" s="24" t="n">
        <x:v>3</x:v>
      </x:c>
      <x:c r="H207" s="24" t="str">
        <x:v>15</x:v>
      </x:c>
      <x:c r="I207" s="24" t="str">
        <x:v>重点逐题预审</x:v>
      </x:c>
      <x:c r="J207" s="24" t="str">
        <x:v>REVISION_REQUIRED</x:v>
      </x:c>
      <x:c r="K207" s="24" t="str">
        <x:v>原始未动</x:v>
      </x:c>
      <x:c r="L207" s="24" t="str">
        <x:v>PENDING</x:v>
      </x:c>
      <x:c r="M207" s="24" t="str"/>
      <x:c r="N207" s="24" t="str"/>
      <x:c r="O207" s="24" t="str"/>
    </x:row>
    <x:row r="208" ht="34" customHeight="1">
      <x:c r="A208" s="24" t="n">
        <x:v>207</x:v>
      </x:c>
      <x:c r="B208" s="24" t="str">
        <x:v>[T155] V14-P0-043</x:v>
      </x:c>
      <x:c r="C208" s="24" t="str">
        <x:v>939ab507-cee6-449a-80b9-cf97cedd194b</x:v>
      </x:c>
      <x:c r="D208" s="24" t="str">
        <x:v>策略选择</x:v>
      </x:c>
      <x:c r="E208" s="24" t="str">
        <x:v>2.0</x:v>
      </x:c>
      <x:c r="F208" s="24" t="str">
        <x:v>V2 / ten-frame</x:v>
      </x:c>
      <x:c r="G208" s="24" t="n">
        <x:v>3</x:v>
      </x:c>
      <x:c r="H208" s="24" t="str">
        <x:v>10</x:v>
      </x:c>
      <x:c r="I208" s="24" t="str">
        <x:v>重点逐题预审</x:v>
      </x:c>
      <x:c r="J208" s="24" t="str">
        <x:v>REVISION_REQUIRED</x:v>
      </x:c>
      <x:c r="K208" s="24" t="str">
        <x:v>原始未动</x:v>
      </x:c>
      <x:c r="L208" s="24" t="str">
        <x:v>PENDING</x:v>
      </x:c>
      <x:c r="M208" s="24" t="str"/>
      <x:c r="N208" s="24" t="str"/>
      <x:c r="O208" s="24" t="str"/>
    </x:row>
    <x:row r="209" ht="34" customHeight="1">
      <x:c r="A209" s="24" t="n">
        <x:v>208</x:v>
      </x:c>
      <x:c r="B209" s="24" t="str">
        <x:v>先求另一人再求总数</x:v>
      </x:c>
      <x:c r="C209" s="24" t="str">
        <x:v>6e5395f0-def7-4060-a501-044d8e9a3764</x:v>
      </x:c>
      <x:c r="D209" s="24" t="str">
        <x:v>策略选择</x:v>
      </x:c>
      <x:c r="E209" s="24" t="str">
        <x:v>1.0</x:v>
      </x:c>
      <x:c r="F209" s="24" t="str">
        <x:v>V1 / bar-model</x:v>
      </x:c>
      <x:c r="G209" s="24" t="n">
        <x:v>4</x:v>
      </x:c>
      <x:c r="H209" s="24" t="str">
        <x:v>21</x:v>
      </x:c>
      <x:c r="I209" s="24" t="str">
        <x:v>重点逐题预审</x:v>
      </x:c>
      <x:c r="J209" s="24" t="str">
        <x:v>REVISION_REQUIRED</x:v>
      </x:c>
      <x:c r="K209" s="24" t="str">
        <x:v>原始未动</x:v>
      </x:c>
      <x:c r="L209" s="24" t="str">
        <x:v>PENDING</x:v>
      </x:c>
      <x:c r="M209" s="24" t="str"/>
      <x:c r="N209" s="24" t="str"/>
      <x:c r="O209" s="24" t="str"/>
    </x:row>
    <x:row r="210" ht="34" customHeight="1">
      <x:c r="A210" s="24" t="n">
        <x:v>209</x:v>
      </x:c>
      <x:c r="B210" s="24" t="str">
        <x:v>[T155] V14-P0-064</x:v>
      </x:c>
      <x:c r="C210" s="24" t="str">
        <x:v>ba81c426-4bcd-435e-b567-6cb2f071d7f7</x:v>
      </x:c>
      <x:c r="D210" s="24" t="str">
        <x:v>策略选择</x:v>
      </x:c>
      <x:c r="E210" s="24" t="str">
        <x:v>2.0</x:v>
      </x:c>
      <x:c r="F210" s="24" t="str">
        <x:v>V2 / array-board</x:v>
      </x:c>
      <x:c r="G210" s="24" t="n">
        <x:v>4</x:v>
      </x:c>
      <x:c r="H210" s="24" t="str">
        <x:v>10</x:v>
      </x:c>
      <x:c r="I210" s="24" t="str">
        <x:v>重点逐题预审</x:v>
      </x:c>
      <x:c r="J210" s="24" t="str">
        <x:v>REVISION_REQUIRED</x:v>
      </x:c>
      <x:c r="K210" s="24" t="str">
        <x:v>原始未动</x:v>
      </x:c>
      <x:c r="L210" s="24" t="str">
        <x:v>PENDING</x:v>
      </x:c>
      <x:c r="M210" s="24" t="str"/>
      <x:c r="N210" s="24" t="str"/>
      <x:c r="O210" s="24" t="str"/>
    </x:row>
    <x:row r="211" ht="34" customHeight="1">
      <x:c r="A211" s="24" t="n">
        <x:v>210</x:v>
      </x:c>
      <x:c r="B211" s="24" t="str">
        <x:v>[T155] V14-P0-024</x:v>
      </x:c>
      <x:c r="C211" s="24" t="str">
        <x:v>3b94815f-16a6-4a8f-a17d-2b1e2b229053</x:v>
      </x:c>
      <x:c r="D211" s="24" t="str">
        <x:v>策略选择</x:v>
      </x:c>
      <x:c r="E211" s="24" t="str">
        <x:v>2.0</x:v>
      </x:c>
      <x:c r="F211" s="24" t="str">
        <x:v>V2 / number-line</x:v>
      </x:c>
      <x:c r="G211" s="24" t="n">
        <x:v>4</x:v>
      </x:c>
      <x:c r="H211" s="24" t="str">
        <x:v>22</x:v>
      </x:c>
      <x:c r="I211" s="24" t="str">
        <x:v>重点逐题预审</x:v>
      </x:c>
      <x:c r="J211" s="24" t="str">
        <x:v>REVISION_REQUIRED</x:v>
      </x:c>
      <x:c r="K211" s="24" t="str">
        <x:v>原始未动</x:v>
      </x:c>
      <x:c r="L211" s="24" t="str">
        <x:v>PENDING</x:v>
      </x:c>
      <x:c r="M211" s="24" t="str"/>
      <x:c r="N211" s="24" t="str"/>
      <x:c r="O211" s="24" t="str"/>
    </x:row>
    <x:row r="212" ht="34" customHeight="1">
      <x:c r="A212" s="24" t="n">
        <x:v>211</x:v>
      </x:c>
      <x:c r="B212" s="24" t="str">
        <x:v>[T155] V14-P0-139</x:v>
      </x:c>
      <x:c r="C212" s="24" t="str">
        <x:v>6b87f039-372a-4146-80d2-6873e38001f9</x:v>
      </x:c>
      <x:c r="D212" s="24" t="str">
        <x:v>策略选择</x:v>
      </x:c>
      <x:c r="E212" s="24" t="str">
        <x:v>2.0</x:v>
      </x:c>
      <x:c r="F212" s="24" t="str">
        <x:v>V2 / money-board</x:v>
      </x:c>
      <x:c r="G212" s="24" t="n">
        <x:v>4</x:v>
      </x:c>
      <x:c r="H212" s="24" t="str">
        <x:v>35</x:v>
      </x:c>
      <x:c r="I212" s="24" t="str">
        <x:v>重点逐题预审</x:v>
      </x:c>
      <x:c r="J212" s="24" t="str">
        <x:v>REVISION_REQUIRED</x:v>
      </x:c>
      <x:c r="K212" s="24" t="str">
        <x:v>原始未动</x:v>
      </x:c>
      <x:c r="L212" s="24" t="str">
        <x:v>PENDING</x:v>
      </x:c>
      <x:c r="M212" s="24" t="str"/>
      <x:c r="N212" s="24" t="str"/>
      <x:c r="O212" s="24" t="str"/>
    </x:row>
    <x:row r="213" ht="34" customHeight="1">
      <x:c r="A213" s="24" t="n">
        <x:v>212</x:v>
      </x:c>
      <x:c r="B213" s="24" t="str">
        <x:v>[T155] V14-P0-074</x:v>
      </x:c>
      <x:c r="C213" s="24" t="str">
        <x:v>8122c8c2-5151-46e8-b6d8-6df76e984775</x:v>
      </x:c>
      <x:c r="D213" s="24" t="str">
        <x:v>策略选择</x:v>
      </x:c>
      <x:c r="E213" s="24" t="str">
        <x:v>2.0</x:v>
      </x:c>
      <x:c r="F213" s="24" t="str">
        <x:v>V2 / formula-board</x:v>
      </x:c>
      <x:c r="G213" s="24" t="n">
        <x:v>4</x:v>
      </x:c>
      <x:c r="H213" s="24" t="str">
        <x:v>6</x:v>
      </x:c>
      <x:c r="I213" s="24" t="str">
        <x:v>重点逐题预审</x:v>
      </x:c>
      <x:c r="J213" s="24" t="str">
        <x:v>REVISION_REQUIRED</x:v>
      </x:c>
      <x:c r="K213" s="24" t="str">
        <x:v>原始未动</x:v>
      </x:c>
      <x:c r="L213" s="24" t="str">
        <x:v>PENDING</x:v>
      </x:c>
      <x:c r="M213" s="24" t="str"/>
      <x:c r="N213" s="24" t="str"/>
      <x:c r="O213" s="24" t="str"/>
    </x:row>
    <x:row r="214" ht="34" customHeight="1">
      <x:c r="A214" s="24" t="n">
        <x:v>213</x:v>
      </x:c>
      <x:c r="B214" s="24" t="str">
        <x:v>先合起来再拿走</x:v>
      </x:c>
      <x:c r="C214" s="24" t="str">
        <x:v>76d49907-c092-4822-b0ea-344850970da0</x:v>
      </x:c>
      <x:c r="D214" s="24" t="str">
        <x:v>策略选择</x:v>
      </x:c>
      <x:c r="E214" s="24" t="str">
        <x:v>1.0</x:v>
      </x:c>
      <x:c r="F214" s="24" t="str">
        <x:v>V1 / number-line</x:v>
      </x:c>
      <x:c r="G214" s="24" t="n">
        <x:v>4</x:v>
      </x:c>
      <x:c r="H214" s="24" t="str">
        <x:v>9</x:v>
      </x:c>
      <x:c r="I214" s="24" t="str">
        <x:v>版本更新补审</x:v>
      </x:c>
      <x:c r="J214" s="24" t="str">
        <x:v>REVISION_REQUIRED</x:v>
      </x:c>
      <x:c r="K214" s="24" t="str">
        <x:v>整改新版（旧 a7fc3314·axis_max_fix）</x:v>
      </x:c>
      <x:c r="L214" s="24" t="str">
        <x:v>PENDING</x:v>
      </x:c>
      <x:c r="M214" s="24" t="str"/>
      <x:c r="N214" s="24" t="str"/>
      <x:c r="O214" s="24" t="str"/>
    </x:row>
    <x:row r="215" ht="34" customHeight="1">
      <x:c r="A215" s="24" t="n">
        <x:v>214</x:v>
      </x:c>
      <x:c r="B215" s="24" t="str">
        <x:v>[T155] V14-P0-060</x:v>
      </x:c>
      <x:c r="C215" s="24" t="str">
        <x:v>a1f45723-7d39-4c45-b8fd-9f5cddcf38ea</x:v>
      </x:c>
      <x:c r="D215" s="24" t="str">
        <x:v>策略选择</x:v>
      </x:c>
      <x:c r="E215" s="24" t="str">
        <x:v>2.0</x:v>
      </x:c>
      <x:c r="F215" s="24" t="str">
        <x:v>V2 / array-board</x:v>
      </x:c>
      <x:c r="G215" s="24" t="n">
        <x:v>5</x:v>
      </x:c>
      <x:c r="H215" s="24" t="str">
        <x:v>15</x:v>
      </x:c>
      <x:c r="I215" s="24" t="str">
        <x:v>重点逐题预审</x:v>
      </x:c>
      <x:c r="J215" s="24" t="str">
        <x:v>REVISION_REQUIRED</x:v>
      </x:c>
      <x:c r="K215" s="24" t="str">
        <x:v>原始未动</x:v>
      </x:c>
      <x:c r="L215" s="24" t="str">
        <x:v>PENDING</x:v>
      </x:c>
      <x:c r="M215" s="24" t="str"/>
      <x:c r="N215" s="24" t="str"/>
      <x:c r="O215" s="24" t="str"/>
    </x:row>
    <x:row r="216" ht="34" customHeight="1">
      <x:c r="A216" s="24" t="n">
        <x:v>215</x:v>
      </x:c>
      <x:c r="B216" s="24" t="str">
        <x:v>[T155] V14-P0-040</x:v>
      </x:c>
      <x:c r="C216" s="24" t="str">
        <x:v>8d8c71fb-9c9d-45d6-9c8a-d395f202f9fa</x:v>
      </x:c>
      <x:c r="D216" s="24" t="str">
        <x:v>策略选择</x:v>
      </x:c>
      <x:c r="E216" s="24" t="str">
        <x:v>2.0</x:v>
      </x:c>
      <x:c r="F216" s="24" t="str">
        <x:v>V2 / place-value</x:v>
      </x:c>
      <x:c r="G216" s="24" t="n">
        <x:v>5</x:v>
      </x:c>
      <x:c r="H216" s="24" t="str">
        <x:v>206</x:v>
      </x:c>
      <x:c r="I216" s="24" t="str">
        <x:v>重点逐题预审</x:v>
      </x:c>
      <x:c r="J216" s="24" t="str">
        <x:v>REVISION_REQUIRED</x:v>
      </x:c>
      <x:c r="K216" s="24" t="str">
        <x:v>原始未动</x:v>
      </x:c>
      <x:c r="L216" s="24" t="str">
        <x:v>PENDING</x:v>
      </x:c>
      <x:c r="M216" s="24" t="str"/>
      <x:c r="N216" s="24" t="str"/>
      <x:c r="O216" s="24" t="str"/>
    </x:row>
    <x:row r="217" ht="34" customHeight="1">
      <x:c r="A217" s="24" t="n">
        <x:v>216</x:v>
      </x:c>
      <x:c r="B217" s="24" t="str">
        <x:v>[T155] V14-P0-075</x:v>
      </x:c>
      <x:c r="C217" s="24" t="str">
        <x:v>506538f4-1e95-402a-9b2e-8069d78251c5</x:v>
      </x:c>
      <x:c r="D217" s="24" t="str">
        <x:v>策略选择</x:v>
      </x:c>
      <x:c r="E217" s="24" t="str">
        <x:v>2.0</x:v>
      </x:c>
      <x:c r="F217" s="24" t="str">
        <x:v>V2 / formula-board</x:v>
      </x:c>
      <x:c r="G217" s="24" t="n">
        <x:v>5</x:v>
      </x:c>
      <x:c r="H217" s="24" t="str">
        <x:v>9</x:v>
      </x:c>
      <x:c r="I217" s="24" t="str">
        <x:v>重点逐题预审</x:v>
      </x:c>
      <x:c r="J217" s="24" t="str">
        <x:v>REVISION_REQUIRED</x:v>
      </x:c>
      <x:c r="K217" s="24" t="str">
        <x:v>原始未动</x:v>
      </x:c>
      <x:c r="L217" s="24" t="str">
        <x:v>PENDING</x:v>
      </x:c>
      <x:c r="M217" s="24" t="str"/>
      <x:c r="N217" s="24" t="str"/>
      <x:c r="O217" s="24" t="str"/>
    </x:row>
    <x:row r="218" ht="34" customHeight="1">
      <x:c r="A218" s="24" t="n">
        <x:v>217</x:v>
      </x:c>
      <x:c r="B218" s="24" t="str">
        <x:v>[T155] V14-P0-020</x:v>
      </x:c>
      <x:c r="C218" s="24" t="str">
        <x:v>52df263c-9da3-4a3c-b98e-c3e2b82c561b</x:v>
      </x:c>
      <x:c r="D218" s="24" t="str">
        <x:v>策略选择</x:v>
      </x:c>
      <x:c r="E218" s="24" t="str">
        <x:v>2.0</x:v>
      </x:c>
      <x:c r="F218" s="24" t="str">
        <x:v>V2 / number-line</x:v>
      </x:c>
      <x:c r="G218" s="24" t="n">
        <x:v>5</x:v>
      </x:c>
      <x:c r="H218" s="24" t="str">
        <x:v>9</x:v>
      </x:c>
      <x:c r="I218" s="24" t="str">
        <x:v>重点逐题预审</x:v>
      </x:c>
      <x:c r="J218" s="24" t="str">
        <x:v>REVISION_REQUIRED</x:v>
      </x:c>
      <x:c r="K218" s="24" t="str">
        <x:v>原始未动</x:v>
      </x:c>
      <x:c r="L218" s="24" t="str">
        <x:v>PENDING</x:v>
      </x:c>
      <x:c r="M218" s="24" t="str"/>
      <x:c r="N218" s="24" t="str"/>
      <x:c r="O218" s="24" t="str"/>
    </x:row>
    <x:row r="219" ht="34" customHeight="1">
      <x:c r="A219" s="24" t="n">
        <x:v>218</x:v>
      </x:c>
      <x:c r="B219" s="24" t="str">
        <x:v>换成座位数量还能增加</x:v>
      </x:c>
      <x:c r="C219" s="24" t="str">
        <x:v>a5ea2487-ac28-41c3-898b-03e6e1c4de16</x:v>
      </x:c>
      <x:c r="D219" s="24" t="str">
        <x:v>迁移观察</x:v>
      </x:c>
      <x:c r="E219" s="24" t="str">
        <x:v>1.0</x:v>
      </x:c>
      <x:c r="F219" s="24" t="str">
        <x:v>V1 / number-line</x:v>
      </x:c>
      <x:c r="G219" s="24" t="n">
        <x:v>3</x:v>
      </x:c>
      <x:c r="H219" s="24" t="str">
        <x:v>16</x:v>
      </x:c>
      <x:c r="I219" s="24" t="str">
        <x:v>重点逐题预审</x:v>
      </x:c>
      <x:c r="J219" s="24" t="str">
        <x:v>REVISION_REQUIRED</x:v>
      </x:c>
      <x:c r="K219" s="24" t="str">
        <x:v>原始未动</x:v>
      </x:c>
      <x:c r="L219" s="24" t="str">
        <x:v>PENDING</x:v>
      </x:c>
      <x:c r="M219" s="24" t="str"/>
      <x:c r="N219" s="24" t="str"/>
      <x:c r="O219" s="24" t="str"/>
    </x:row>
    <x:row r="220" ht="34" customHeight="1">
      <x:c r="A220" s="24" t="n">
        <x:v>219</x:v>
      </x:c>
      <x:c r="B220" s="24" t="str">
        <x:v>换成跑步圈数还能比较</x:v>
      </x:c>
      <x:c r="C220" s="24" t="str">
        <x:v>8f603745-fc26-4402-9cd2-0fc20cfd401a</x:v>
      </x:c>
      <x:c r="D220" s="24" t="str">
        <x:v>迁移观察</x:v>
      </x:c>
      <x:c r="E220" s="24" t="str">
        <x:v>1.0</x:v>
      </x:c>
      <x:c r="F220" s="24" t="str">
        <x:v>V1 / objects</x:v>
      </x:c>
      <x:c r="G220" s="24" t="n">
        <x:v>3</x:v>
      </x:c>
      <x:c r="H220" s="24" t="str">
        <x:v>3</x:v>
      </x:c>
      <x:c r="I220" s="24" t="str">
        <x:v>重点逐题预审</x:v>
      </x:c>
      <x:c r="J220" s="24" t="str">
        <x:v>REVISION_REQUIRED</x:v>
      </x:c>
      <x:c r="K220" s="24" t="str">
        <x:v>原始未动</x:v>
      </x:c>
      <x:c r="L220" s="24" t="str">
        <x:v>PENDING</x:v>
      </x:c>
      <x:c r="M220" s="24" t="str"/>
      <x:c r="N220" s="24" t="str"/>
      <x:c r="O220" s="24" t="str"/>
    </x:row>
    <x:row r="221" ht="34" customHeight="1">
      <x:c r="A221" s="24" t="n">
        <x:v>220</x:v>
      </x:c>
      <x:c r="B221" s="24" t="str">
        <x:v>换成水杯里的另一部分</x:v>
      </x:c>
      <x:c r="C221" s="24" t="str">
        <x:v>b1a30690-f909-4ab6-8414-26a1378872e3</x:v>
      </x:c>
      <x:c r="D221" s="24" t="str">
        <x:v>迁移观察</x:v>
      </x:c>
      <x:c r="E221" s="24" t="str">
        <x:v>1.0</x:v>
      </x:c>
      <x:c r="F221" s="24" t="str">
        <x:v>V1 / bar-model</x:v>
      </x:c>
      <x:c r="G221" s="24" t="n">
        <x:v>4</x:v>
      </x:c>
      <x:c r="H221" s="24" t="str">
        <x:v>11</x:v>
      </x:c>
      <x:c r="I221" s="24" t="str">
        <x:v>重点逐题预审</x:v>
      </x:c>
      <x:c r="J221" s="24" t="str">
        <x:v>REVISION_REQUIRED</x:v>
      </x:c>
      <x:c r="K221" s="24" t="str">
        <x:v>原始未动</x:v>
      </x:c>
      <x:c r="L221" s="24" t="str">
        <x:v>PENDING</x:v>
      </x:c>
      <x:c r="M221" s="24" t="str"/>
      <x:c r="N221" s="24" t="str"/>
      <x:c r="O221" s="24" t="str"/>
    </x:row>
    <x:row r="222" ht="34" customHeight="1">
      <x:c r="A222" s="24" t="n">
        <x:v>221</x:v>
      </x:c>
      <x:c r="B222" s="24" t="str">
        <x:v>换成步数中的多</x:v>
      </x:c>
      <x:c r="C222" s="24" t="str">
        <x:v>c88410f2-f810-47b4-8ae4-cc218b140a88</x:v>
      </x:c>
      <x:c r="D222" s="24" t="str">
        <x:v>迁移观察</x:v>
      </x:c>
      <x:c r="E222" s="24" t="str">
        <x:v>1.0</x:v>
      </x:c>
      <x:c r="F222" s="24" t="str">
        <x:v>V1 / bar-model</x:v>
      </x:c>
      <x:c r="G222" s="24" t="n">
        <x:v>4</x:v>
      </x:c>
      <x:c r="H222" s="24" t="str">
        <x:v>13</x:v>
      </x:c>
      <x:c r="I222" s="24" t="str">
        <x:v>重点逐题预审</x:v>
      </x:c>
      <x:c r="J222" s="24" t="str">
        <x:v>REVISION_REQUIRED</x:v>
      </x:c>
      <x:c r="K222" s="24" t="str">
        <x:v>原始未动</x:v>
      </x:c>
      <x:c r="L222" s="24" t="str">
        <x:v>PENDING</x:v>
      </x:c>
      <x:c r="M222" s="24" t="str"/>
      <x:c r="N222" s="24" t="str"/>
      <x:c r="O222" s="24" t="str"/>
    </x:row>
    <x:row r="223" ht="34" customHeight="1">
      <x:c r="A223" s="24" t="n">
        <x:v>222</x:v>
      </x:c>
      <x:c r="B223" s="24" t="str">
        <x:v>[T155] V14-P0-149</x:v>
      </x:c>
      <x:c r="C223" s="24" t="str">
        <x:v>845c6fea-418f-4365-a25e-b50e5b5040f8</x:v>
      </x:c>
      <x:c r="D223" s="24" t="str">
        <x:v>迁移观察</x:v>
      </x:c>
      <x:c r="E223" s="24" t="str">
        <x:v>2.0</x:v>
      </x:c>
      <x:c r="F223" s="24" t="str">
        <x:v>V2 / pattern-board</x:v>
      </x:c>
      <x:c r="G223" s="24" t="n">
        <x:v>4</x:v>
      </x:c>
      <x:c r="H223" s="24" t="str">
        <x:v>14</x:v>
      </x:c>
      <x:c r="I223" s="24" t="str">
        <x:v>重点逐题预审</x:v>
      </x:c>
      <x:c r="J223" s="24" t="str">
        <x:v>REVISION_REQUIRED</x:v>
      </x:c>
      <x:c r="K223" s="24" t="str">
        <x:v>原始未动</x:v>
      </x:c>
      <x:c r="L223" s="24" t="str">
        <x:v>PENDING</x:v>
      </x:c>
      <x:c r="M223" s="24" t="str"/>
      <x:c r="N223" s="24" t="str"/>
      <x:c r="O223" s="24" t="str"/>
    </x:row>
    <x:row r="224" ht="34" customHeight="1">
      <x:c r="A224" s="24" t="n">
        <x:v>223</x:v>
      </x:c>
      <x:c r="B224" s="24" t="str">
        <x:v>[T155] V14-P0-155</x:v>
      </x:c>
      <x:c r="C224" s="24" t="str">
        <x:v>57c34c52-7fc2-4ba8-9f66-2a60c622d6f4</x:v>
      </x:c>
      <x:c r="D224" s="24" t="str">
        <x:v>迁移观察</x:v>
      </x:c>
      <x:c r="E224" s="24" t="str">
        <x:v>2.0</x:v>
      </x:c>
      <x:c r="F224" s="24" t="str">
        <x:v>V2 / pattern-board</x:v>
      </x:c>
      <x:c r="G224" s="24" t="n">
        <x:v>5</x:v>
      </x:c>
      <x:c r="H224" s="24" t="str">
        <x:v>13</x:v>
      </x:c>
      <x:c r="I224" s="24" t="str">
        <x:v>重点逐题预审</x:v>
      </x:c>
      <x:c r="J224" s="24" t="str">
        <x:v>REVISION_REQUIRED</x:v>
      </x:c>
      <x:c r="K224" s="24" t="str">
        <x:v>原始未动</x:v>
      </x:c>
      <x:c r="L224" s="24" t="str">
        <x:v>PENDING</x:v>
      </x:c>
      <x:c r="M224" s="24" t="str"/>
      <x:c r="N224" s="24" t="str"/>
      <x:c r="O224" s="24" t="str"/>
    </x:row>
    <x:row r="225" ht="34" customHeight="1">
      <x:c r="A225" s="24" t="n">
        <x:v>224</x:v>
      </x:c>
      <x:c r="B225" s="24" t="str">
        <x:v>[T155] V14-P0-145</x:v>
      </x:c>
      <x:c r="C225" s="24" t="str">
        <x:v>3d60a583-d90d-442d-9e2d-d78ab970b414</x:v>
      </x:c>
      <x:c r="D225" s="24" t="str">
        <x:v>迁移观察</x:v>
      </x:c>
      <x:c r="E225" s="24" t="str">
        <x:v>2.0</x:v>
      </x:c>
      <x:c r="F225" s="24" t="str">
        <x:v>V2 / pattern-board</x:v>
      </x:c>
      <x:c r="G225" s="24" t="n">
        <x:v>5</x:v>
      </x:c>
      <x:c r="H225" s="24" t="str">
        <x:v>12</x:v>
      </x:c>
      <x:c r="I225" s="24" t="str">
        <x:v>重点逐题预审</x:v>
      </x:c>
      <x:c r="J225" s="24" t="str">
        <x:v>REVISION_REQUIRED</x:v>
      </x:c>
      <x:c r="K225" s="24" t="str">
        <x:v>原始未动</x:v>
      </x:c>
      <x:c r="L225" s="24" t="str">
        <x:v>PENDING</x:v>
      </x:c>
      <x:c r="M225" s="24" t="str"/>
      <x:c r="N225" s="24" t="str"/>
      <x:c r="O225" s="24" t="str"/>
    </x:row>
    <x:row r="226" ht="34" customHeight="1">
      <x:c r="A226" s="24" t="n">
        <x:v>225</x:v>
      </x:c>
      <x:c r="B226" s="24" t="str">
        <x:v>换成书架的连续变化</x:v>
      </x:c>
      <x:c r="C226" s="24" t="str">
        <x:v>552b39e3-7127-4c2d-a506-628259bb08c7</x:v>
      </x:c>
      <x:c r="D226" s="24" t="str">
        <x:v>迁移观察</x:v>
      </x:c>
      <x:c r="E226" s="24" t="str">
        <x:v>1.0</x:v>
      </x:c>
      <x:c r="F226" s="24" t="str">
        <x:v>V1 / number-line</x:v>
      </x:c>
      <x:c r="G226" s="24" t="n">
        <x:v>5</x:v>
      </x:c>
      <x:c r="H226" s="24" t="str">
        <x:v>9</x:v>
      </x:c>
      <x:c r="I226" s="24" t="str">
        <x:v>版本更新补审</x:v>
      </x:c>
      <x:c r="J226" s="24" t="str">
        <x:v>REVISION_REQUIRED</x:v>
      </x:c>
      <x:c r="K226" s="24" t="str">
        <x:v>整改新版（旧 05a2649f·axis_max_fix）</x:v>
      </x:c>
      <x:c r="L226" s="24" t="str">
        <x:v>PENDING</x:v>
      </x:c>
      <x:c r="M226" s="24" t="str"/>
      <x:c r="N226" s="24" t="str"/>
      <x:c r="O226" s="24" t="str"/>
    </x:row>
  </x:sheetData>
  <x:dataValidations count="1">
    <x:dataValidation type="list" sqref="L2:L226">
      <x:formula1>"PENDING,APPROVED,REVISION_REQUIRED,REJECTED"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3cc91c7a824a28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37" hidden="0" customWidth="1"/>
    <x:col min="3" max="3" width="27" hidden="0" customWidth="1"/>
    <x:col min="4" max="4" width="42" hidden="0" customWidth="1"/>
    <x:col min="5" max="5" width="60" hidden="0" customWidth="1"/>
    <x:col min="6" max="6" width="22" hidden="0" customWidth="1"/>
  </x:cols>
  <x:sheetData>
    <x:row r="1" ht="30" customHeight="1">
      <x:c r="A1" s="17" t="str">
        <x:v>old_rvid</x:v>
      </x:c>
      <x:c r="B1" s="17" t="str">
        <x:v>new_rvid</x:v>
      </x:c>
      <x:c r="C1" s="17" t="str">
        <x:v>fix_type</x:v>
      </x:c>
      <x:c r="D1" s="17" t="str">
        <x:v>change</x:v>
      </x:c>
      <x:c r="E1" s="17" t="str">
        <x:v>note</x:v>
      </x:c>
      <x:c r="F1" s="17" t="str">
        <x:v>当前Published存在</x:v>
      </x:c>
    </x:row>
    <x:row r="2" ht="47" customHeight="1">
      <x:c r="A2" s="24" t="str">
        <x:v>e02a5afe-f9ef-47a3-b0af-9f79d884a038</x:v>
      </x:c>
      <x:c r="B2" s="24" t="str">
        <x:v>bb376fbd-06c8-4604-91c9-4cc195567a49</x:v>
      </x:c>
      <x:c r="C2" s="24" t="str">
        <x:v>axis_max_fix</x:v>
      </x:c>
      <x:c r="D2" s="24" t="str">
        <x:v>visual.max 13→16</x:v>
      </x:c>
      <x:c r="E2" s="24" t="str"/>
      <x:c r="F2" s="24" t="str">
        <x:v>YES</x:v>
      </x:c>
    </x:row>
    <x:row r="3" ht="47" customHeight="1">
      <x:c r="A3" s="24" t="str">
        <x:v>a7fc3314-72c6-4b58-998d-fa0111cd86fd</x:v>
      </x:c>
      <x:c r="B3" s="24" t="str">
        <x:v>76d49907-c092-4822-b0ea-344850970da0</x:v>
      </x:c>
      <x:c r="C3" s="24" t="str">
        <x:v>axis_max_fix</x:v>
      </x:c>
      <x:c r="D3" s="24" t="str">
        <x:v>visual.max 11→14</x:v>
      </x:c>
      <x:c r="E3" s="24" t="str"/>
      <x:c r="F3" s="24" t="str">
        <x:v>YES</x:v>
      </x:c>
    </x:row>
    <x:row r="4" ht="47" customHeight="1">
      <x:c r="A4" s="24" t="str">
        <x:v>05a2649f-0f90-442c-aeeb-370545a7dc7b</x:v>
      </x:c>
      <x:c r="B4" s="24" t="str">
        <x:v>552b39e3-7127-4c2d-a506-628259bb08c7</x:v>
      </x:c>
      <x:c r="C4" s="24" t="str">
        <x:v>axis_max_fix</x:v>
      </x:c>
      <x:c r="D4" s="24" t="str">
        <x:v>visual.max 11→14</x:v>
      </x:c>
      <x:c r="E4" s="24" t="str"/>
      <x:c r="F4" s="24" t="str">
        <x:v>YES</x:v>
      </x:c>
    </x:row>
    <x:row r="5" ht="47" customHeight="1">
      <x:c r="A5" s="24" t="str">
        <x:v>55810dda-4636-4150-8c31-ff81af70c8f8</x:v>
      </x:c>
      <x:c r="B5" s="24" t="str">
        <x:v>6446cda3-e53b-496d-9f8d-c1f758d2f743</x:v>
      </x:c>
      <x:c r="C5" s="24" t="str">
        <x:v>shape_name_neutralize</x:v>
      </x:c>
      <x:c r="D5" s="24" t="str">
        <x:v>shapes[].name→卡N</x:v>
      </x:c>
      <x:c r="E5" s="24" t="str"/>
      <x:c r="F5" s="24" t="str">
        <x:v>YES</x:v>
      </x:c>
    </x:row>
    <x:row r="6" ht="47" customHeight="1">
      <x:c r="A6" s="24" t="str">
        <x:v>95d79265-76d9-4625-bf83-3cb90d4fab5c</x:v>
      </x:c>
      <x:c r="B6" s="24" t="str">
        <x:v>b0e607c7-add5-4372-9671-78ec108282fd</x:v>
      </x:c>
      <x:c r="C6" s="24" t="str">
        <x:v>shape_name_neutralize</x:v>
      </x:c>
      <x:c r="D6" s="24" t="str">
        <x:v>shapes[].name→卡N</x:v>
      </x:c>
      <x:c r="E6" s="24" t="str"/>
      <x:c r="F6" s="24" t="str">
        <x:v>YES</x:v>
      </x:c>
    </x:row>
    <x:row r="7" ht="47" customHeight="1">
      <x:c r="A7" s="24" t="str">
        <x:v>985156bc-c033-4911-8e92-46c984f7cb65</x:v>
      </x:c>
      <x:c r="B7" s="24" t="str">
        <x:v>3f97f749-deb5-4bf7-a14b-c2eb1b71c89f</x:v>
      </x:c>
      <x:c r="C7" s="24" t="str">
        <x:v>shape_name_neutralize</x:v>
      </x:c>
      <x:c r="D7" s="24" t="str">
        <x:v>shapes[].name→卡N</x:v>
      </x:c>
      <x:c r="E7" s="24" t="str"/>
      <x:c r="F7" s="24" t="str">
        <x:v>YES</x:v>
      </x:c>
    </x:row>
    <x:row r="8" ht="47" customHeight="1">
      <x:c r="A8" s="24" t="str">
        <x:v>125e7a06-5376-44ef-86f1-bceaa14505b2</x:v>
      </x:c>
      <x:c r="B8" s="24" t="str">
        <x:v>31554b60-52f5-4f51-86ee-04aea3d09c08</x:v>
      </x:c>
      <x:c r="C8" s="24" t="str">
        <x:v>shape_name_neutralize</x:v>
      </x:c>
      <x:c r="D8" s="24" t="str">
        <x:v>shapes[].name→卡N</x:v>
      </x:c>
      <x:c r="E8" s="24" t="str"/>
      <x:c r="F8" s="24" t="str">
        <x:v>YES</x:v>
      </x:c>
    </x:row>
    <x:row r="9" ht="47" customHeight="1">
      <x:c r="A9" s="24" t="str">
        <x:v>2bbbc87a-db80-462a-83da-7027a4bbca93</x:v>
      </x:c>
      <x:c r="B9" s="24" t="str">
        <x:v>4821e8a3-dadd-4dcb-8660-f0d1fb9ad465</x:v>
      </x:c>
      <x:c r="C9" s="24" t="str">
        <x:v>shape_name_neutralize</x:v>
      </x:c>
      <x:c r="D9" s="24" t="str">
        <x:v>shapes[].name→卡N</x:v>
      </x:c>
      <x:c r="E9" s="24" t="str"/>
      <x:c r="F9" s="24" t="str">
        <x:v>YES</x:v>
      </x:c>
    </x:row>
    <x:row r="10" ht="47" customHeight="1">
      <x:c r="A10" s="24" t="str">
        <x:v>68f68512-5167-4d30-8f31-a082e12a0244</x:v>
      </x:c>
      <x:c r="B10" s="24" t="str">
        <x:v>905207e0-0ef5-4d1c-bb6a-2aa71f6adfe3</x:v>
      </x:c>
      <x:c r="C10" s="24" t="str">
        <x:v>shape_name_neutralize</x:v>
      </x:c>
      <x:c r="D10" s="24" t="str">
        <x:v>shapes[].name→卡N</x:v>
      </x:c>
      <x:c r="E10" s="24" t="str"/>
      <x:c r="F10" s="24" t="str">
        <x:v>YES</x:v>
      </x:c>
    </x:row>
    <x:row r="11" ht="47" customHeight="1">
      <x:c r="A11" s="24" t="str">
        <x:v>7a168c3c-0342-43b4-9651-445b54e82375</x:v>
      </x:c>
      <x:c r="B11" s="24" t="str">
        <x:v>e3c2ebe4-57eb-4811-8b5f-80b67aa199dd</x:v>
      </x:c>
      <x:c r="C11" s="24" t="str">
        <x:v>shape_name_neutralize</x:v>
      </x:c>
      <x:c r="D11" s="24" t="str">
        <x:v>shapes[].name→卡N</x:v>
      </x:c>
      <x:c r="E11" s="24" t="str"/>
      <x:c r="F11" s="24" t="str">
        <x:v>YES</x:v>
      </x:c>
    </x:row>
    <x:row r="12" ht="47" customHeight="1">
      <x:c r="A12" s="24" t="str">
        <x:v>86672e3b-3678-4874-8d7c-5f588c8bb398</x:v>
      </x:c>
      <x:c r="B12" s="24" t="str">
        <x:v>fb895a6f-12c0-4d1d-987e-ffab90d31989</x:v>
      </x:c>
      <x:c r="C12" s="24" t="str">
        <x:v>shape_name_neutralize</x:v>
      </x:c>
      <x:c r="D12" s="24" t="str">
        <x:v>shapes[].name→卡N</x:v>
      </x:c>
      <x:c r="E12" s="24" t="str"/>
      <x:c r="F12" s="24" t="str">
        <x:v>YES</x:v>
      </x:c>
    </x:row>
    <x:row r="13" ht="47" customHeight="1">
      <x:c r="A13" s="24" t="str">
        <x:v>df5c3a8b-1119-4624-ae7e-4997f9a9eef9</x:v>
      </x:c>
      <x:c r="B13" s="24" t="str">
        <x:v>c2050d65-f7e8-4a6a-983e-978712174a84</x:v>
      </x:c>
      <x:c r="C13" s="24" t="str">
        <x:v>shape_name_neutralize</x:v>
      </x:c>
      <x:c r="D13" s="24" t="str">
        <x:v>shapes[].name→卡N</x:v>
      </x:c>
      <x:c r="E13" s="24" t="str"/>
      <x:c r="F13" s="24" t="str">
        <x:v>YES</x:v>
      </x:c>
    </x:row>
    <x:row r="14" ht="47" customHeight="1">
      <x:c r="A14" s="24" t="str">
        <x:v>8eb5de92-d04b-4d0a-abc5-eb2e58375fcd</x:v>
      </x:c>
      <x:c r="B14" s="24" t="str">
        <x:v>e0a2a067-175b-480d-a614-e326212923f7</x:v>
      </x:c>
      <x:c r="C14" s="24" t="str">
        <x:v>fe1455_jump_constraint</x:v>
      </x:c>
      <x:c r="D14" s="24" t="str">
        <x:v>config +jump_constraint{5,right,3}</x:v>
      </x:c>
      <x:c r="E14" s="24" t="str">
        <x:v>FE-1455 解禁版：E2E 三态+双皮肤+证据语义终核后 published（13 号映射，基线 224→225）</x:v>
      </x:c>
      <x:c r="F14" s="24" t="str">
        <x:v>YES</x:v>
      </x:c>
    </x:row>
    <x:row r="15" ht="47" customHeight="1">
      <x:c r="A15" s="24" t="str">
        <x:v>1ab893bf-b293-41bb-8514-310a8b832c3e</x:v>
      </x:c>
      <x:c r="B15" s="24" t="str">
        <x:v>5bceb172-2b67-4421-99b2-175ec05b94e9</x:v>
      </x:c>
      <x:c r="C15" s="24" t="str">
        <x:v>start_fix</x:v>
      </x:c>
      <x:c r="D15" s="24" t="str">
        <x:v>visual.start 3→0（max=23 不变）</x:v>
      </x:c>
      <x:c r="E15" s="24" t="str">
        <x:v>Rev.B §二批准：双皮肤E2E 0→7→14→21 无反向修正+判对后 published（14 号映射）</x:v>
      </x:c>
      <x:c r="F15" s="24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ef660b6267044b5f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94" hidden="0" customWidth="1"/>
    <x:col min="3" max="3" width="21" hidden="0" customWidth="1"/>
  </x:cols>
  <x:sheetData>
    <x:row r="1" ht="30" customHeight="1">
      <x:c r="A1" s="17" t="str">
        <x:v>规则</x:v>
      </x:c>
      <x:c r="B1" s="17" t="str">
        <x:v>操作要求</x:v>
      </x:c>
      <x:c r="C1" s="17" t="str">
        <x:v>是否可自动签认</x:v>
      </x:c>
    </x:row>
    <x:row r="2" ht="42" customHeight="1">
      <x:c r="A2" s="24" t="str">
        <x:v>基线</x:v>
      </x:c>
      <x:c r="B2" s="24" t="str">
        <x:v>现行225题每一行一个RVID；历史审计225题为另一冻结版本，不能互相覆盖</x:v>
      </x:c>
      <x:c r="C2" s="24" t="str">
        <x:v>否</x:v>
      </x:c>
    </x:row>
    <x:row r="3" ht="42" customHeight="1">
      <x:c r="A3" s="24" t="str">
        <x:v>AI建议：APPROVED_CANDIDATE</x:v>
      </x:c>
      <x:c r="B3" s="24" t="str">
        <x:v>数值/情境/能力靶标未见显著冲突；仍须教研与真实交互通过</x:v>
      </x:c>
      <x:c r="C3" s="24" t="str">
        <x:v>否</x:v>
      </x:c>
    </x:row>
    <x:row r="4" ht="42" customHeight="1">
      <x:c r="A4" s="24" t="str">
        <x:v>AI建议：REVISION_REQUIRED</x:v>
      </x:c>
      <x:c r="B4" s="24" t="str">
        <x:v>当前题需补能力过程证据、提示改写、适龄判断或契约配置</x:v>
      </x:c>
      <x:c r="C4" s="24" t="str">
        <x:v>否</x:v>
      </x:c>
    </x:row>
    <x:row r="5" ht="42" customHeight="1">
      <x:c r="A5" s="24" t="str">
        <x:v>AI建议：REJECTED_CANDIDATE</x:v>
      </x:c>
      <x:c r="B5" s="24" t="str">
        <x:v>明显不可修复或违反发布边界才建议淘汰，本轮无此结论</x:v>
      </x:c>
      <x:c r="C5" s="24" t="str">
        <x:v>否</x:v>
      </x:c>
    </x:row>
    <x:row r="6" ht="42" customHeight="1">
      <x:c r="A6" s="24" t="str">
        <x:v>教研正式APPROVED</x:v>
      </x:c>
      <x:c r="B6" s="24" t="str">
        <x:v>有教研老师、日期、明确证据与复核理由，并确认发布版本RVID</x:v>
      </x:c>
      <x:c r="C6" s="24" t="str">
        <x:v>必须人工</x:v>
      </x:c>
    </x:row>
    <x:row r="7" ht="42" customHeight="1">
      <x:c r="A7" s="24" t="str">
        <x:v>教研正式REVISED/REJECTED</x:v>
      </x:c>
      <x:c r="B7" s="24" t="str">
        <x:v>教研拒绝/要求修订需有明确题目RVID与理由；新版不自动继承旧结论</x:v>
      </x:c>
      <x:c r="C7" s="24" t="str">
        <x:v>必须人工</x:v>
      </x:c>
    </x:row>
    <x:row r="8" ht="42" customHeight="1">
      <x:c r="A8" s="24" t="str">
        <x:v>签认优先级</x:v>
      </x:c>
      <x:c r="B8" s="24" t="str">
        <x:v>69道Rev.B重点＋4道版本外补审；其余152道继续深审</x:v>
      </x:c>
      <x:c r="C8" s="24" t="str">
        <x:v>否</x:v>
      </x:c>
    </x:row>
    <x:row r="9" ht="42" customHeight="1">
      <x:c r="A9" s="24" t="str">
        <x:v>独立答案</x:v>
      </x:c>
      <x:c r="B9" s="24" t="str">
        <x:v>保留53题配置层重算与16题旧依据之区别；不可拿DB answer自证Judge</x:v>
      </x:c>
      <x:c r="C9" s="24" t="str">
        <x:v>否</x:v>
      </x:c>
    </x:row>
    <x:row r="10" ht="42" customHeight="1">
      <x:c r="A10" s="24" t="str">
        <x:v>hint阶梯</x:v>
      </x:c>
      <x:c r="B10" s="24" t="str">
        <x:v>高提示可包含演示，但不得计入低提示独立掌握；直接公布正确卡片需重点审查</x:v>
      </x:c>
      <x:c r="C10" s="24" t="str">
        <x:v>否</x:v>
      </x:c>
    </x:row>
    <x:row r="11" ht="42" customHeight="1">
      <x:c r="A11" s="24" t="str">
        <x:v>能力测量</x:v>
      </x:c>
      <x:c r="B11" s="24" t="str">
        <x:v>数值正确不能自动证明读题/策略选择/迁移；需合法操作、选择依据、前后配对</x:v>
      </x:c>
      <x:c r="C11" s="24" t="str">
        <x:v>否</x:v>
      </x:c>
    </x:row>
    <x:row r="12" ht="42" customHeight="1">
      <x:c r="A12" s="24" t="str">
        <x:v>Accessibility</x:v>
      </x:c>
      <x:c r="B12" s="24" t="str">
        <x:v>图形卡中性编号需读屏可识别特征、纯键盘操作且不直接播报答案</x:v>
      </x:c>
      <x:c r="C12" s="24" t="str">
        <x:v>否</x:v>
      </x:c>
    </x:row>
    <x:row r="13" ht="42" customHeight="1">
      <x:c r="A13" s="24" t="str">
        <x:v>FE-1455</x:v>
      </x:c>
      <x:c r="B13" s="24" t="str">
        <x:v>跳步过程三态技术验证≠教学签认；非法轨迹不得产生正向掌握</x:v>
      </x:c>
      <x:c r="C13" s="24" t="str">
        <x:v>否</x:v>
      </x:c>
    </x:row>
    <x:row r="14" ht="42" customHeight="1">
      <x:c r="A14" s="24" t="str">
        <x:v>Review Scope</x:v>
      </x:c>
      <x:c r="B14" s="24" t="str">
        <x:v>纯文件与静态合同证据；不称独立重跑浏览器/后端；数据变更以来源快照为准</x:v>
      </x:c>
      <x:c r="C14" s="24" t="str">
        <x:v>否</x:v>
      </x:c>
    </x:row>
  </x:sheetData>
  <x:pageMargins left="0.7" right="0.7" top="0.75" bottom="0.75" header="0.3" footer="0.3"/>
  <x:tableParts count="1">
    <x:tablePart xmlns:r="http://schemas.openxmlformats.org/officeDocument/2006/relationships" r:id="R806884b366b74360"/>
  </x:tableParts>
</x:worksheet>
</file>