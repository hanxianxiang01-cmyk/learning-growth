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b93de1db5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53468e0e6ce047ea"/>
    <x:sheet xmlns:r="http://schemas.openxmlformats.org/officeDocument/2006/relationships" name="Summary" sheetId="2" r:id="Rc007d27cffff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B57"/>
      <x:name val="Carlito"/>
    </x:font>
    <x:font>
      <x:b/>
      <x:sz val="11"/>
      <x:color rgb="FFB42318"/>
      <x:name val="Carlito"/>
    </x:font>
    <x:font>
      <x:b/>
      <x:sz val="11"/>
      <x:color rgb="FF0676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173B57"/>
      </x:patternFill>
    </x:fill>
    <x:fill>
      <x:patternFill patternType="solid">
        <x:fgColor rgb="FFDCEBF4"/>
      </x:patternFill>
    </x:fill>
    <x:fill>
      <x:patternFill patternType="solid">
        <x:fgColor rgb="FF173B57"/>
      </x:patternFill>
    </x:fill>
    <x:fill>
      <x:patternFill patternType="solid">
        <x:fgColor rgb="FFDCEBF4"/>
      </x:patternFill>
    </x:fill>
    <x:fill>
      <x:patternFill patternType="solid">
        <x:fgColor rgb="FFFDECEC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067647"/>
      </x:font>
      <x:fill>
        <x:patternFill>
          <x:bgColor rgb="FF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d1ea4a2a44380" /><Relationship Type="http://schemas.openxmlformats.org/officeDocument/2006/relationships/theme" Target="/xl/theme/theme1.xml" Id="Rb7b3cff93a2a4770" /><Relationship Type="http://schemas.openxmlformats.org/officeDocument/2006/relationships/sharedStrings" Target="/xl/sharedStrings.xml" Id="R56518c816cd748a1" /><Relationship Type="http://schemas.openxmlformats.org/officeDocument/2006/relationships/worksheet" Target="/xl/worksheets/sheet1.xml" Id="R53468e0e6ce047ea" /><Relationship Type="http://schemas.openxmlformats.org/officeDocument/2006/relationships/worksheet" Target="/xl/worksheets/sheet2.xml" Id="Rc007d27cffff46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8" hidden="0" customWidth="1"/>
    <x:col min="4" max="4" width="10" hidden="0" customWidth="1"/>
    <x:col min="5" max="5" width="20" hidden="0" customWidth="1"/>
    <x:col min="6" max="6" width="24" hidden="0" customWidth="1"/>
    <x:col min="7" max="7" width="12" hidden="0" customWidth="1"/>
    <x:col min="8" max="8" width="60" hidden="0" customWidth="1"/>
    <x:col min="9" max="9" width="12" hidden="0" customWidth="1"/>
    <x:col min="10" max="10" width="16" hidden="0" customWidth="1"/>
  </x:cols>
  <x:sheetData>
    <x:row r="1">
      <x:c r="A1" s="6" t="str">
        <x:v>Epic</x:v>
      </x:c>
      <x:c r="B1" s="6" t="str">
        <x:v>Story ID</x:v>
      </x:c>
      <x:c r="C1" s="6" t="str">
        <x:v>User Story / Task</x:v>
      </x:c>
      <x:c r="D1" s="6" t="str">
        <x:v>Priority</x:v>
      </x:c>
      <x:c r="E1" s="6" t="str">
        <x:v>Owner Role</x:v>
      </x:c>
      <x:c r="F1" s="6" t="str">
        <x:v>Dependency</x:v>
      </x:c>
      <x:c r="G1" s="6" t="str">
        <x:v>Story Points</x:v>
      </x:c>
      <x:c r="H1" s="6" t="str">
        <x:v>Acceptance Criteria</x:v>
      </x:c>
      <x:c r="I1" s="6" t="str">
        <x:v>Release Gate</x:v>
      </x:c>
      <x:c r="J1" s="6" t="str">
        <x:v>Status</x:v>
      </x:c>
    </x:row>
    <x:row r="2">
      <x:c r="A2" s="12" t="str">
        <x:v>E0 Foundation</x:v>
      </x:c>
      <x:c r="B2" s="12" t="str">
        <x:v>E0-01</x:v>
      </x:c>
      <x:c r="C2" s="12" t="str">
        <x:v>DeepTutor外部扩展SPI Spike（独立Tool+Capability+失败隔离+零Core补丁）</x:v>
      </x:c>
      <x:c r="D2" s="12" t="str">
        <x:v>P0</x:v>
      </x:c>
      <x:c r="E2" s="12" t="str">
        <x:v>Backend/AI</x:v>
      </x:c>
      <x:c r="F2" s="12" t="str">
        <x:v>无</x:v>
      </x:c>
      <x:c r="G2" s="12" t="n">
        <x:v>3</x:v>
      </x:c>
      <x:c r="H2" s="12" t="str">
        <x:v>独立package通过wheel/editable安装；自动发现外部Tool与Capability；Capability可调用Tool；生产所需运行入口可用；重启/卸载行为正确；坏插件不得拖垮DeepTutor；固定基线git diff确认Core源码修改=0；输出PASS/PARTIAL/FAIL证据包。</x:v>
      </x:c>
      <x:c r="I2" s="12" t="str">
        <x:v>R0-HARD</x:v>
      </x:c>
      <x:c r="J2" s="12" t="str">
        <x:v>Not Started</x:v>
      </x:c>
    </x:row>
    <x:row r="3">
      <x:c r="A3" s="12" t="str">
        <x:v>E0 Foundation</x:v>
      </x:c>
      <x:c r="B3" s="12" t="str">
        <x:v>E0-02</x:v>
      </x:c>
      <x:c r="C3" s="12" t="str">
        <x:v>建立Learning Engine服务骨架</x:v>
      </x:c>
      <x:c r="D3" s="12" t="str">
        <x:v>P0</x:v>
      </x:c>
      <x:c r="E3" s="12" t="str">
        <x:v>Backend</x:v>
      </x:c>
      <x:c r="F3" s="12" t="str">
        <x:v>E0-01</x:v>
      </x:c>
      <x:c r="G3" s="12" t="n">
        <x:v>5</x:v>
      </x:c>
      <x:c r="H3" s="12" t="str">
        <x:v>API健康检查、配置加载、日志链路通过</x:v>
      </x:c>
      <x:c r="I3" s="12" t="str">
        <x:v>R0</x:v>
      </x:c>
      <x:c r="J3" s="12" t="str">
        <x:v>Not Started</x:v>
      </x:c>
    </x:row>
    <x:row r="4">
      <x:c r="A4" s="12" t="str">
        <x:v>E0 Foundation</x:v>
      </x:c>
      <x:c r="B4" s="12" t="str">
        <x:v>E0-03</x:v>
      </x:c>
      <x:c r="C4" s="12" t="str">
        <x:v>PostgreSQL初始化与迁移框架</x:v>
      </x:c>
      <x:c r="D4" s="12" t="str">
        <x:v>P0</x:v>
      </x:c>
      <x:c r="E4" s="12" t="str">
        <x:v>Backend/DBA</x:v>
      </x:c>
      <x:c r="F4" s="12" t="str">
        <x:v>E0-02</x:v>
      </x:c>
      <x:c r="G4" s="12" t="n">
        <x:v>3</x:v>
      </x:c>
      <x:c r="H4" s="12" t="str">
        <x:v>DDL可重复执行；迁移可升级/回滚</x:v>
      </x:c>
      <x:c r="I4" s="12" t="str">
        <x:v>R0</x:v>
      </x:c>
      <x:c r="J4" s="12" t="str">
        <x:v>Not Started</x:v>
      </x:c>
    </x:row>
    <x:row r="5">
      <x:c r="A5" s="12" t="str">
        <x:v>E0 Foundation</x:v>
      </x:c>
      <x:c r="B5" s="12" t="str">
        <x:v>E0-04</x:v>
      </x:c>
      <x:c r="C5" s="12" t="str">
        <x:v>CI：单测、lint、OpenAPI校验、DDL校验</x:v>
      </x:c>
      <x:c r="D5" s="12" t="str">
        <x:v>P0</x:v>
      </x:c>
      <x:c r="E5" s="12" t="str">
        <x:v>DevOps</x:v>
      </x:c>
      <x:c r="F5" s="12" t="str">
        <x:v>E0-01;E0-02</x:v>
      </x:c>
      <x:c r="G5" s="12" t="n">
        <x:v>5</x:v>
      </x:c>
      <x:c r="H5" s="12" t="str">
        <x:v>PR流水线自动执行并阻断失败</x:v>
      </x:c>
      <x:c r="I5" s="12" t="str">
        <x:v>R0</x:v>
      </x:c>
      <x:c r="J5" s="12" t="str">
        <x:v>Not Started</x:v>
      </x:c>
    </x:row>
    <x:row r="6">
      <x:c r="A6" s="12" t="str">
        <x:v>E1 Domain Data</x:v>
      </x:c>
      <x:c r="B6" s="12" t="str">
        <x:v>E1-01</x:v>
      </x:c>
      <x:c r="C6" s="12" t="str">
        <x:v>Ability Node/Edge数据模型与CRUD</x:v>
      </x:c>
      <x:c r="D6" s="12" t="str">
        <x:v>P0</x:v>
      </x:c>
      <x:c r="E6" s="12" t="str">
        <x:v>Backend</x:v>
      </x:c>
      <x:c r="F6" s="12" t="str">
        <x:v>E0-03</x:v>
      </x:c>
      <x:c r="G6" s="12" t="n">
        <x:v>5</x:v>
      </x:c>
      <x:c r="H6" s="12" t="str">
        <x:v>支持节点、前置关系、版本字段；单测通过</x:v>
      </x:c>
      <x:c r="I6" s="12" t="str">
        <x:v>R1</x:v>
      </x:c>
      <x:c r="J6" s="12" t="str">
        <x:v>Not Started</x:v>
      </x:c>
    </x:row>
    <x:row r="7">
      <x:c r="A7" s="12" t="str">
        <x:v>E1 Domain Data</x:v>
      </x:c>
      <x:c r="B7" s="12" t="str">
        <x:v>E1-02</x:v>
      </x:c>
      <x:c r="C7" s="12" t="str">
        <x:v>Resource/ResourceVersion与双审状态机</x:v>
      </x:c>
      <x:c r="D7" s="12" t="str">
        <x:v>P0</x:v>
      </x:c>
      <x:c r="E7" s="12" t="str">
        <x:v>Backend</x:v>
      </x:c>
      <x:c r="F7" s="12" t="str">
        <x:v>E0-03</x:v>
      </x:c>
      <x:c r="G7" s="12" t="n">
        <x:v>8</x:v>
      </x:c>
      <x:c r="H7" s="12" t="str">
        <x:v>历史版本不可覆盖；draft-review-published可流转</x:v>
      </x:c>
      <x:c r="I7" s="12" t="str">
        <x:v>R1</x:v>
      </x:c>
      <x:c r="J7" s="12" t="str">
        <x:v>Not Started</x:v>
      </x:c>
    </x:row>
    <x:row r="8">
      <x:c r="A8" s="12" t="str">
        <x:v>E1 Domain Data</x:v>
      </x:c>
      <x:c r="B8" s="12" t="str">
        <x:v>E1-03</x:v>
      </x:c>
      <x:c r="C8" s="12" t="str">
        <x:v>Child/Guardian/Consent基础模型</x:v>
      </x:c>
      <x:c r="D8" s="12" t="str">
        <x:v>P0</x:v>
      </x:c>
      <x:c r="E8" s="12" t="str">
        <x:v>Backend</x:v>
      </x:c>
      <x:c r="F8" s="12" t="str">
        <x:v>E0-03</x:v>
      </x:c>
      <x:c r="G8" s="12" t="n">
        <x:v>5</x:v>
      </x:c>
      <x:c r="H8" s="12" t="str">
        <x:v>监护关系与授权版本可审计</x:v>
      </x:c>
      <x:c r="I8" s="12" t="str">
        <x:v>R1</x:v>
      </x:c>
      <x:c r="J8" s="12" t="str">
        <x:v>Not Started</x:v>
      </x:c>
    </x:row>
    <x:row r="9">
      <x:c r="A9" s="12" t="str">
        <x:v>E1 Domain Data</x:v>
      </x:c>
      <x:c r="B9" s="12" t="str">
        <x:v>E1-04</x:v>
      </x:c>
      <x:c r="C9" s="12" t="str">
        <x:v>LearningSession/TaskInstance/Attempt/Event模型</x:v>
      </x:c>
      <x:c r="D9" s="12" t="str">
        <x:v>P0</x:v>
      </x:c>
      <x:c r="E9" s="12" t="str">
        <x:v>Backend</x:v>
      </x:c>
      <x:c r="F9" s="12" t="str">
        <x:v>E0-03</x:v>
      </x:c>
      <x:c r="G9" s="12" t="n">
        <x:v>8</x:v>
      </x:c>
      <x:c r="H9" s="12" t="str">
        <x:v>一个学习回合可完整追踪；事件有序</x:v>
      </x:c>
      <x:c r="I9" s="12" t="str">
        <x:v>R1</x:v>
      </x:c>
      <x:c r="J9" s="12" t="str">
        <x:v>Not Started</x:v>
      </x:c>
    </x:row>
    <x:row r="10">
      <x:c r="A10" s="12" t="str">
        <x:v>E2 Learning Engine</x:v>
      </x:c>
      <x:c r="B10" s="12" t="str">
        <x:v>E2-01</x:v>
      </x:c>
      <x:c r="C10" s="12" t="str">
        <x:v>LearnerProfileService</x:v>
      </x:c>
      <x:c r="D10" s="12" t="str">
        <x:v>P0</x:v>
      </x:c>
      <x:c r="E10" s="12" t="str">
        <x:v>Backend</x:v>
      </x:c>
      <x:c r="F10" s="12" t="str">
        <x:v>E1-01;E1-04</x:v>
      </x:c>
      <x:c r="G10" s="12" t="n">
        <x:v>5</x:v>
      </x:c>
      <x:c r="H10" s="12" t="str">
        <x:v>按child返回能力切片和近期学习行为</x:v>
      </x:c>
      <x:c r="I10" s="12" t="str">
        <x:v>R2</x:v>
      </x:c>
      <x:c r="J10" s="12" t="str">
        <x:v>Not Started</x:v>
      </x:c>
    </x:row>
    <x:row r="11">
      <x:c r="A11" s="12" t="str">
        <x:v>E2 Learning Engine</x:v>
      </x:c>
      <x:c r="B11" s="12" t="str">
        <x:v>E2-02</x:v>
      </x:c>
      <x:c r="C11" s="12" t="str">
        <x:v>DiagnosisService V1规则引擎</x:v>
      </x:c>
      <x:c r="D11" s="12" t="str">
        <x:v>P0</x:v>
      </x:c>
      <x:c r="E11" s="12" t="str">
        <x:v>Backend+Education</x:v>
      </x:c>
      <x:c r="F11" s="12" t="str">
        <x:v>E1-04</x:v>
      </x:c>
      <x:c r="G11" s="12" t="n">
        <x:v>8</x:v>
      </x:c>
      <x:c r="H11" s="12" t="str">
        <x:v>MATH-LANG/REL/CALC/STRAT/CHECK规则回放通过</x:v>
      </x:c>
      <x:c r="I11" s="12" t="str">
        <x:v>R2</x:v>
      </x:c>
      <x:c r="J11" s="12" t="str">
        <x:v>Not Started</x:v>
      </x:c>
    </x:row>
    <x:row r="12">
      <x:c r="A12" s="12" t="str">
        <x:v>E2 Learning Engine</x:v>
      </x:c>
      <x:c r="B12" s="12" t="str">
        <x:v>E2-03</x:v>
      </x:c>
      <x:c r="C12" s="12" t="str">
        <x:v>MasteryService L0-L4状态机</x:v>
      </x:c>
      <x:c r="D12" s="12" t="str">
        <x:v>P0</x:v>
      </x:c>
      <x:c r="E12" s="12" t="str">
        <x:v>Backend+Education</x:v>
      </x:c>
      <x:c r="F12" s="12" t="str">
        <x:v>E1-01;E1-04</x:v>
      </x:c>
      <x:c r="G12" s="12" t="n">
        <x:v>13</x:v>
      </x:c>
      <x:c r="H12" s="12" t="str">
        <x:v>Mastery权重固定0.35/0.25/0.20/0.20；correctness/independence来自原子证据；stability仅由stability_window聚合产生（&gt;=5条合格原子证据且&gt;=3个resource_version）；transfer仅由transfer_window聚合产生（&gt;=2条transfer_attempt且&gt;=2个context_family）；缺任一维度不得重归一化或升级；所有派生证据必须带source_evidence_ids与rule_version。</x:v>
      </x:c>
      <x:c r="I12" s="12" t="str">
        <x:v>R2</x:v>
      </x:c>
      <x:c r="J12" s="12" t="str">
        <x:v>Not Started</x:v>
      </x:c>
    </x:row>
    <x:row r="13">
      <x:c r="A13" s="12" t="str">
        <x:v>E2 Learning Engine</x:v>
      </x:c>
      <x:c r="B13" s="12" t="str">
        <x:v>E2-04</x:v>
      </x:c>
      <x:c r="C13" s="12" t="str">
        <x:v>FitBand计算与ZPD任务难度选择</x:v>
      </x:c>
      <x:c r="D13" s="12" t="str">
        <x:v>P0</x:v>
      </x:c>
      <x:c r="E13" s="12" t="str">
        <x:v>Backend+Education</x:v>
      </x:c>
      <x:c r="F13" s="12" t="str">
        <x:v>E2-03</x:v>
      </x:c>
      <x:c r="G13" s="12" t="n">
        <x:v>8</x:v>
      </x:c>
      <x:c r="H13" s="12" t="str">
        <x:v>输出D范围，不改Resource客观难度</x:v>
      </x:c>
      <x:c r="I13" s="12" t="str">
        <x:v>R2</x:v>
      </x:c>
      <x:c r="J13" s="12" t="str">
        <x:v>Not Started</x:v>
      </x:c>
    </x:row>
    <x:row r="14">
      <x:c r="A14" s="12" t="str">
        <x:v>E2 Learning Engine</x:v>
      </x:c>
      <x:c r="B14" s="12" t="str">
        <x:v>E2-05</x:v>
      </x:c>
      <x:c r="C14" s="12" t="str">
        <x:v>CurriculumService next_task</x:v>
      </x:c>
      <x:c r="D14" s="12" t="str">
        <x:v>P0</x:v>
      </x:c>
      <x:c r="E14" s="12" t="str">
        <x:v>Backend</x:v>
      </x:c>
      <x:c r="F14" s="12" t="str">
        <x:v>E1-02;E2-04</x:v>
      </x:c>
      <x:c r="G14" s="12" t="n">
        <x:v>8</x:v>
      </x:c>
      <x:c r="H14" s="12" t="str">
        <x:v>按前置能力、FitBand、复习需求返回资源版本</x:v>
      </x:c>
      <x:c r="I14" s="12" t="str">
        <x:v>R2</x:v>
      </x:c>
      <x:c r="J14" s="12" t="str">
        <x:v>Not Started</x:v>
      </x:c>
    </x:row>
    <x:row r="15">
      <x:c r="A15" s="12" t="str">
        <x:v>E2 Learning Engine</x:v>
      </x:c>
      <x:c r="B15" s="12" t="str">
        <x:v>E2-06</x:v>
      </x:c>
      <x:c r="C15" s="12" t="str">
        <x:v>StrategyService Hint状态机</x:v>
      </x:c>
      <x:c r="D15" s="12" t="str">
        <x:v>P0</x:v>
      </x:c>
      <x:c r="E15" s="12" t="str">
        <x:v>Backend+AI</x:v>
      </x:c>
      <x:c r="F15" s="12" t="str">
        <x:v>E2-02</x:v>
      </x:c>
      <x:c r="G15" s="12" t="n">
        <x:v>8</x:v>
      </x:c>
      <x:c r="H15" s="12" t="str">
        <x:v>Hint 0-4受控；首次错误不揭答案</x:v>
      </x:c>
      <x:c r="I15" s="12" t="str">
        <x:v>R2</x:v>
      </x:c>
      <x:c r="J15" s="12" t="str">
        <x:v>Not Started</x:v>
      </x:c>
    </x:row>
    <x:row r="16">
      <x:c r="A16" s="12" t="str">
        <x:v>E2 Learning Engine</x:v>
      </x:c>
      <x:c r="B16" s="12" t="str">
        <x:v>E2-07</x:v>
      </x:c>
      <x:c r="C16" s="12" t="str">
        <x:v>GrowthSnapshot/ReportService</x:v>
      </x:c>
      <x:c r="D16" s="12" t="str">
        <x:v>P0</x:v>
      </x:c>
      <x:c r="E16" s="12" t="str">
        <x:v>Backend</x:v>
      </x:c>
      <x:c r="F16" s="12" t="str">
        <x:v>E2-03;E1-04</x:v>
      </x:c>
      <x:c r="G16" s="12" t="n">
        <x:v>8</x:v>
      </x:c>
      <x:c r="H16" s="12" t="str">
        <x:v>样本不足显示观察中；所有结论有evidence_refs</x:v>
      </x:c>
      <x:c r="I16" s="12" t="str">
        <x:v>R2</x:v>
      </x:c>
      <x:c r="J16" s="12" t="str">
        <x:v>Not Started</x:v>
      </x:c>
    </x:row>
    <x:row r="17">
      <x:c r="A17" s="12" t="str">
        <x:v>E3 Agent Integration</x:v>
      </x:c>
      <x:c r="B17" s="12" t="str">
        <x:v>E3-01</x:v>
      </x:c>
      <x:c r="C17" s="12" t="str">
        <x:v>Learning Engine Client Adapter</x:v>
      </x:c>
      <x:c r="D17" s="12" t="str">
        <x:v>P0</x:v>
      </x:c>
      <x:c r="E17" s="12" t="str">
        <x:v>AI/Backend</x:v>
      </x:c>
      <x:c r="F17" s="12" t="str">
        <x:v>E2-01;E2-05;E2-06</x:v>
      </x:c>
      <x:c r="G17" s="12" t="n">
        <x:v>5</x:v>
      </x:c>
      <x:c r="H17" s="12" t="str">
        <x:v>超时/重试/错误降级策略可用</x:v>
      </x:c>
      <x:c r="I17" s="12" t="str">
        <x:v>R3</x:v>
      </x:c>
      <x:c r="J17" s="12" t="str">
        <x:v>Not Started</x:v>
      </x:c>
    </x:row>
    <x:row r="18">
      <x:c r="A18" s="12" t="str">
        <x:v>E3 Agent Integration</x:v>
      </x:c>
      <x:c r="B18" s="12" t="str">
        <x:v>E3-02</x:v>
      </x:c>
      <x:c r="C18" s="12" t="str">
        <x:v>get_learner_state Tool</x:v>
      </x:c>
      <x:c r="D18" s="12" t="str">
        <x:v>P0</x:v>
      </x:c>
      <x:c r="E18" s="12" t="str">
        <x:v>AI</x:v>
      </x:c>
      <x:c r="F18" s="12" t="str">
        <x:v>E3-01</x:v>
      </x:c>
      <x:c r="G18" s="12" t="n">
        <x:v>3</x:v>
      </x:c>
      <x:c r="H18" s="12" t="str">
        <x:v>只读返回所需能力切片</x:v>
      </x:c>
      <x:c r="I18" s="12" t="str">
        <x:v>R3</x:v>
      </x:c>
      <x:c r="J18" s="12" t="str">
        <x:v>Not Started</x:v>
      </x:c>
    </x:row>
    <x:row r="19">
      <x:c r="A19" s="12" t="str">
        <x:v>E3 Agent Integration</x:v>
      </x:c>
      <x:c r="B19" s="12" t="str">
        <x:v>E3-03</x:v>
      </x:c>
      <x:c r="C19" s="12" t="str">
        <x:v>submit_attempt Tool</x:v>
      </x:c>
      <x:c r="D19" s="12" t="str">
        <x:v>P0</x:v>
      </x:c>
      <x:c r="E19" s="12" t="str">
        <x:v>AI</x:v>
      </x:c>
      <x:c r="F19" s="12" t="str">
        <x:v>E3-01</x:v>
      </x:c>
      <x:c r="G19" s="12" t="n">
        <x:v>5</x:v>
      </x:c>
      <x:c r="H19" s="12" t="str">
        <x:v>写Attempt/Event并返回diagnosis+next_action</x:v>
      </x:c>
      <x:c r="I19" s="12" t="str">
        <x:v>R3</x:v>
      </x:c>
      <x:c r="J19" s="12" t="str">
        <x:v>Not Started</x:v>
      </x:c>
    </x:row>
    <x:row r="20">
      <x:c r="A20" s="12" t="str">
        <x:v>E3 Agent Integration</x:v>
      </x:c>
      <x:c r="B20" s="12" t="str">
        <x:v>E3-04</x:v>
      </x:c>
      <x:c r="C20" s="12" t="str">
        <x:v>get_teaching_action Tool</x:v>
      </x:c>
      <x:c r="D20" s="12" t="str">
        <x:v>P0</x:v>
      </x:c>
      <x:c r="E20" s="12" t="str">
        <x:v>AI</x:v>
      </x:c>
      <x:c r="F20" s="12" t="str">
        <x:v>E3-01</x:v>
      </x:c>
      <x:c r="G20" s="12" t="n">
        <x:v>3</x:v>
      </x:c>
      <x:c r="H20" s="12" t="str">
        <x:v>仅返回允许动作，不含自由教育决策</x:v>
      </x:c>
      <x:c r="I20" s="12" t="str">
        <x:v>R3</x:v>
      </x:c>
      <x:c r="J20" s="12" t="str">
        <x:v>Not Started</x:v>
      </x:c>
    </x:row>
    <x:row r="21">
      <x:c r="A21" s="12" t="str">
        <x:v>E3 Agent Integration</x:v>
      </x:c>
      <x:c r="B21" s="12" t="str">
        <x:v>E3-05</x:v>
      </x:c>
      <x:c r="C21" s="12" t="str">
        <x:v>child_learning Capability</x:v>
      </x:c>
      <x:c r="D21" s="12" t="str">
        <x:v>P0</x:v>
      </x:c>
      <x:c r="E21" s="12" t="str">
        <x:v>AI</x:v>
      </x:c>
      <x:c r="F21" s="12" t="str">
        <x:v>E3-02;E3-03;E3-04</x:v>
      </x:c>
      <x:c r="G21" s="12" t="n">
        <x:v>13</x:v>
      </x:c>
      <x:c r="H21" s="12" t="str">
        <x:v>完整错误→Hint→重试流程；agent_turn_id可审计</x:v>
      </x:c>
      <x:c r="I21" s="12" t="str">
        <x:v>R3</x:v>
      </x:c>
      <x:c r="J21" s="12" t="str">
        <x:v>Not Started</x:v>
      </x:c>
    </x:row>
    <x:row r="22">
      <x:c r="A22" s="12" t="str">
        <x:v>E3 Agent Integration</x:v>
      </x:c>
      <x:c r="B22" s="12" t="str">
        <x:v>E3-06</x:v>
      </x:c>
      <x:c r="C22" s="12" t="str">
        <x:v>growth_review Capability</x:v>
      </x:c>
      <x:c r="D22" s="12" t="str">
        <x:v>P1</x:v>
      </x:c>
      <x:c r="E22" s="12" t="str">
        <x:v>AI</x:v>
      </x:c>
      <x:c r="F22" s="12" t="str">
        <x:v>E2-07</x:v>
      </x:c>
      <x:c r="G22" s="12" t="n">
        <x:v>5</x:v>
      </x:c>
      <x:c r="H22" s="12" t="str">
        <x:v>结构化报告转自然语言，不改数据事实</x:v>
      </x:c>
      <x:c r="I22" s="12" t="str">
        <x:v>R4</x:v>
      </x:c>
      <x:c r="J22" s="12" t="str">
        <x:v>Not Started</x:v>
      </x:c>
    </x:row>
    <x:row r="23">
      <x:c r="A23" s="12" t="str">
        <x:v>E4 Math MVP Content</x:v>
      </x:c>
      <x:c r="B23" s="12" t="str">
        <x:v>E4-01</x:v>
      </x:c>
      <x:c r="C23" s="12" t="str">
        <x:v>应用题能力节点与依赖配置</x:v>
      </x:c>
      <x:c r="D23" s="12" t="str">
        <x:v>P0</x:v>
      </x:c>
      <x:c r="E23" s="12" t="str">
        <x:v>Education</x:v>
      </x:c>
      <x:c r="F23" s="12" t="str">
        <x:v>E1-01</x:v>
      </x:c>
      <x:c r="G23" s="12" t="n">
        <x:v>5</x:v>
      </x:c>
      <x:c r="H23" s="12" t="str">
        <x:v>RD/COND/REL/MODEL/STRAT/CHECK/TRANSFER完整</x:v>
      </x:c>
      <x:c r="I23" s="12" t="str">
        <x:v>R3</x:v>
      </x:c>
      <x:c r="J23" s="12" t="str">
        <x:v>Not Started</x:v>
      </x:c>
    </x:row>
    <x:row r="24">
      <x:c r="A24" s="12" t="str">
        <x:v>E4 Math MVP Content</x:v>
      </x:c>
      <x:c r="B24" s="12" t="str">
        <x:v>E4-02</x:v>
      </x:c>
      <x:c r="C24" s="12" t="str">
        <x:v>数量关系黄金资源包</x:v>
      </x:c>
      <x:c r="D24" s="12" t="str">
        <x:v>P0</x:v>
      </x:c>
      <x:c r="E24" s="12" t="str">
        <x:v>Education</x:v>
      </x:c>
      <x:c r="F24" s="12" t="str">
        <x:v>E1-02</x:v>
      </x:c>
      <x:c r="G24" s="12" t="n">
        <x:v>13</x:v>
      </x:c>
      <x:c r="H24" s="12" t="str">
        <x:v>D1-D4、错误辨析、Hint、迁移、2套评测</x:v>
      </x:c>
      <x:c r="I24" s="12" t="str">
        <x:v>R3</x:v>
      </x:c>
      <x:c r="J24" s="12" t="str">
        <x:v>Not Started</x:v>
      </x:c>
    </x:row>
    <x:row r="25">
      <x:c r="A25" s="12" t="str">
        <x:v>E4 Math MVP Content</x:v>
      </x:c>
      <x:c r="B25" s="12" t="str">
        <x:v>E4-03</x:v>
      </x:c>
      <x:c r="C25" s="12" t="str">
        <x:v>建模黄金资源包</x:v>
      </x:c>
      <x:c r="D25" s="12" t="str">
        <x:v>P0</x:v>
      </x:c>
      <x:c r="E25" s="12" t="str">
        <x:v>Education</x:v>
      </x:c>
      <x:c r="F25" s="12" t="str">
        <x:v>E1-02</x:v>
      </x:c>
      <x:c r="G25" s="12" t="n">
        <x:v>13</x:v>
      </x:c>
      <x:c r="H25" s="12" t="str">
        <x:v>图/线段/关系表征与迁移资源完成双审</x:v>
      </x:c>
      <x:c r="I25" s="12" t="str">
        <x:v>R3</x:v>
      </x:c>
      <x:c r="J25" s="12" t="str">
        <x:v>Not Started</x:v>
      </x:c>
    </x:row>
    <x:row r="26">
      <x:c r="A26" s="12" t="str">
        <x:v>E4 Math MVP Content</x:v>
      </x:c>
      <x:c r="B26" s="12" t="str">
        <x:v>E4-04</x:v>
      </x:c>
      <x:c r="C26" s="12" t="str">
        <x:v>MVP资源导入工具</x:v>
      </x:c>
      <x:c r="D26" s="12" t="str">
        <x:v>P0</x:v>
      </x:c>
      <x:c r="E26" s="12" t="str">
        <x:v>Backend</x:v>
      </x:c>
      <x:c r="F26" s="12" t="str">
        <x:v>E1-02</x:v>
      </x:c>
      <x:c r="G26" s="12" t="n">
        <x:v>5</x:v>
      </x:c>
      <x:c r="H26" s="12" t="str">
        <x:v>CSV/JSON导入、Schema校验、错误报告</x:v>
      </x:c>
      <x:c r="I26" s="12" t="str">
        <x:v>R3</x:v>
      </x:c>
      <x:c r="J26" s="12" t="str">
        <x:v>Not Started</x:v>
      </x:c>
    </x:row>
    <x:row r="27">
      <x:c r="A27" s="12" t="str">
        <x:v>E5 Child UI</x:v>
      </x:c>
      <x:c r="B27" s="12" t="str">
        <x:v>E5-01</x:v>
      </x:c>
      <x:c r="C27" s="12" t="str">
        <x:v>今日任务页</x:v>
      </x:c>
      <x:c r="D27" s="12" t="str">
        <x:v>P0</x:v>
      </x:c>
      <x:c r="E27" s="12" t="str">
        <x:v>Frontend</x:v>
      </x:c>
      <x:c r="F27" s="12" t="str">
        <x:v>E2-05</x:v>
      </x:c>
      <x:c r="G27" s="12" t="n">
        <x:v>5</x:v>
      </x:c>
      <x:c r="H27" s="12" t="str">
        <x:v>展示目标/时长/任务；可开始Session</x:v>
      </x:c>
      <x:c r="I27" s="12" t="str">
        <x:v>R4</x:v>
      </x:c>
      <x:c r="J27" s="12" t="str">
        <x:v>Not Started</x:v>
      </x:c>
    </x:row>
    <x:row r="28">
      <x:c r="A28" s="12" t="str">
        <x:v>E5 Child UI</x:v>
      </x:c>
      <x:c r="B28" s="12" t="str">
        <x:v>E5-02</x:v>
      </x:c>
      <x:c r="C28" s="12" t="str">
        <x:v>学习空间</x:v>
      </x:c>
      <x:c r="D28" s="12" t="str">
        <x:v>P0</x:v>
      </x:c>
      <x:c r="E28" s="12" t="str">
        <x:v>Frontend</x:v>
      </x:c>
      <x:c r="F28" s="12" t="str">
        <x:v>E3-05;E4-02</x:v>
      </x:c>
      <x:c r="G28" s="12" t="n">
        <x:v>13</x:v>
      </x:c>
      <x:c r="H28" s="12" t="str">
        <x:v>答题、Hint、重试、完成全流程可用</x:v>
      </x:c>
      <x:c r="I28" s="12" t="str">
        <x:v>R4</x:v>
      </x:c>
      <x:c r="J28" s="12" t="str">
        <x:v>Not Started</x:v>
      </x:c>
    </x:row>
    <x:row r="29">
      <x:c r="A29" s="12" t="str">
        <x:v>E5 Child UI</x:v>
      </x:c>
      <x:c r="B29" s="12" t="str">
        <x:v>E5-03</x:v>
      </x:c>
      <x:c r="C29" s="12" t="str">
        <x:v>成长地图</x:v>
      </x:c>
      <x:c r="D29" s="12" t="str">
        <x:v>P1</x:v>
      </x:c>
      <x:c r="E29" s="12" t="str">
        <x:v>Frontend</x:v>
      </x:c>
      <x:c r="F29" s="12" t="str">
        <x:v>E2-01</x:v>
      </x:c>
      <x:c r="G29" s="12" t="n">
        <x:v>8</x:v>
      </x:c>
      <x:c r="H29" s="12" t="str">
        <x:v>按能力域展示L等级/发展中，不显示排名</x:v>
      </x:c>
      <x:c r="I29" s="12" t="str">
        <x:v>R4</x:v>
      </x:c>
      <x:c r="J29" s="12" t="str">
        <x:v>Not Started</x:v>
      </x:c>
    </x:row>
    <x:row r="30">
      <x:c r="A30" s="12" t="str">
        <x:v>E6 Parent UI</x:v>
      </x:c>
      <x:c r="B30" s="12" t="str">
        <x:v>E6-01</x:v>
      </x:c>
      <x:c r="C30" s="12" t="str">
        <x:v>家长概览</x:v>
      </x:c>
      <x:c r="D30" s="12" t="str">
        <x:v>P0</x:v>
      </x:c>
      <x:c r="E30" s="12" t="str">
        <x:v>Frontend</x:v>
      </x:c>
      <x:c r="F30" s="12" t="str">
        <x:v>E2-07</x:v>
      </x:c>
      <x:c r="G30" s="12" t="n">
        <x:v>8</x:v>
      </x:c>
      <x:c r="H30" s="12" t="str">
        <x:v>能力变化、指标、最小样本说明</x:v>
      </x:c>
      <x:c r="I30" s="12" t="str">
        <x:v>R4</x:v>
      </x:c>
      <x:c r="J30" s="12" t="str">
        <x:v>Not Started</x:v>
      </x:c>
    </x:row>
    <x:row r="31">
      <x:c r="A31" s="12" t="str">
        <x:v>E6 Parent UI</x:v>
      </x:c>
      <x:c r="B31" s="12" t="str">
        <x:v>E6-02</x:v>
      </x:c>
      <x:c r="C31" s="12" t="str">
        <x:v>证据详情</x:v>
      </x:c>
      <x:c r="D31" s="12" t="str">
        <x:v>P0</x:v>
      </x:c>
      <x:c r="E31" s="12" t="str">
        <x:v>Frontend</x:v>
      </x:c>
      <x:c r="F31" s="12" t="str">
        <x:v>E2-07</x:v>
      </x:c>
      <x:c r="G31" s="12" t="n">
        <x:v>8</x:v>
      </x:c>
      <x:c r="H31" s="12" t="str">
        <x:v>报告结论可追溯任务和证据</x:v>
      </x:c>
      <x:c r="I31" s="12" t="str">
        <x:v>R4</x:v>
      </x:c>
      <x:c r="J31" s="12" t="str">
        <x:v>Not Started</x:v>
      </x:c>
    </x:row>
    <x:row r="32">
      <x:c r="A32" s="12" t="str">
        <x:v>E6 Parent UI</x:v>
      </x:c>
      <x:c r="B32" s="12" t="str">
        <x:v>E6-03</x:v>
      </x:c>
      <x:c r="C32" s="12" t="str">
        <x:v>授权与数据管理</x:v>
      </x:c>
      <x:c r="D32" s="12" t="str">
        <x:v>P0</x:v>
      </x:c>
      <x:c r="E32" s="12" t="str">
        <x:v>Frontend/Backend</x:v>
      </x:c>
      <x:c r="F32" s="12" t="str">
        <x:v>E1-03</x:v>
      </x:c>
      <x:c r="G32" s="12" t="n">
        <x:v>5</x:v>
      </x:c>
      <x:c r="H32" s="12" t="str">
        <x:v>授权状态可查看、撤回入口可用</x:v>
      </x:c>
      <x:c r="I32" s="12" t="str">
        <x:v>R4</x:v>
      </x:c>
      <x:c r="J32" s="12" t="str">
        <x:v>Not Started</x:v>
      </x:c>
    </x:row>
    <x:row r="33">
      <x:c r="A33" s="12" t="str">
        <x:v>E7 Authoring</x:v>
      </x:c>
      <x:c r="B33" s="12" t="str">
        <x:v>E7-01</x:v>
      </x:c>
      <x:c r="C33" s="12" t="str">
        <x:v>能力图谱后台</x:v>
      </x:c>
      <x:c r="D33" s="12" t="str">
        <x:v>P1</x:v>
      </x:c>
      <x:c r="E33" s="12" t="str">
        <x:v>Frontend/Backend</x:v>
      </x:c>
      <x:c r="F33" s="12" t="str">
        <x:v>E1-01</x:v>
      </x:c>
      <x:c r="G33" s="12" t="n">
        <x:v>8</x:v>
      </x:c>
      <x:c r="H33" s="12" t="str">
        <x:v>节点/依赖/等级描述可管理</x:v>
      </x:c>
      <x:c r="I33" s="12" t="str">
        <x:v>R5</x:v>
      </x:c>
      <x:c r="J33" s="12" t="str">
        <x:v>Not Started</x:v>
      </x:c>
    </x:row>
    <x:row r="34">
      <x:c r="A34" s="12" t="str">
        <x:v>E7 Authoring</x:v>
      </x:c>
      <x:c r="B34" s="12" t="str">
        <x:v>E7-02</x:v>
      </x:c>
      <x:c r="C34" s="12" t="str">
        <x:v>资源编辑与版本管理</x:v>
      </x:c>
      <x:c r="D34" s="12" t="str">
        <x:v>P1</x:v>
      </x:c>
      <x:c r="E34" s="12" t="str">
        <x:v>Frontend/Backend</x:v>
      </x:c>
      <x:c r="F34" s="12" t="str">
        <x:v>E1-02</x:v>
      </x:c>
      <x:c r="G34" s="12" t="n">
        <x:v>13</x:v>
      </x:c>
      <x:c r="H34" s="12" t="str">
        <x:v>Schema、难度、错误模型、Hint可编辑；历史版本不可改</x:v>
      </x:c>
      <x:c r="I34" s="12" t="str">
        <x:v>R5</x:v>
      </x:c>
      <x:c r="J34" s="12" t="str">
        <x:v>Not Started</x:v>
      </x:c>
    </x:row>
    <x:row r="35">
      <x:c r="A35" s="12" t="str">
        <x:v>E7 Authoring</x:v>
      </x:c>
      <x:c r="B35" s="12" t="str">
        <x:v>E7-03</x:v>
      </x:c>
      <x:c r="C35" s="12" t="str">
        <x:v>双审发布流程</x:v>
      </x:c>
      <x:c r="D35" s="12" t="str">
        <x:v>P1</x:v>
      </x:c>
      <x:c r="E35" s="12" t="str">
        <x:v>Frontend/Backend</x:v>
      </x:c>
      <x:c r="F35" s="12" t="str">
        <x:v>E1-02</x:v>
      </x:c>
      <x:c r="G35" s="12" t="n">
        <x:v>8</x:v>
      </x:c>
      <x:c r="H35" s="12" t="str">
        <x:v>Editor不能自审自发；审计日志完整</x:v>
      </x:c>
      <x:c r="I35" s="12" t="str">
        <x:v>R5</x:v>
      </x:c>
      <x:c r="J35" s="12" t="str">
        <x:v>Not Started</x:v>
      </x:c>
    </x:row>
    <x:row r="36">
      <x:c r="A36" s="12" t="str">
        <x:v>E8 QA/Pilot</x:v>
      </x:c>
      <x:c r="B36" s="12" t="str">
        <x:v>E8-01</x:v>
      </x:c>
      <x:c r="C36" s="12" t="str">
        <x:v>Learning Engine规则回放测试集</x:v>
      </x:c>
      <x:c r="D36" s="12" t="str">
        <x:v>P0</x:v>
      </x:c>
      <x:c r="E36" s="12" t="str">
        <x:v>QA+Education</x:v>
      </x:c>
      <x:c r="F36" s="12" t="str">
        <x:v>E2-*</x:v>
      </x:c>
      <x:c r="G36" s="12" t="n">
        <x:v>8</x:v>
      </x:c>
      <x:c r="H36" s="12" t="str">
        <x:v>关键状态转移100%符合预期</x:v>
      </x:c>
      <x:c r="I36" s="12" t="str">
        <x:v>R4</x:v>
      </x:c>
      <x:c r="J36" s="12" t="str">
        <x:v>Not Started</x:v>
      </x:c>
    </x:row>
    <x:row r="37">
      <x:c r="A37" s="12" t="str">
        <x:v>E8 QA/Pilot</x:v>
      </x:c>
      <x:c r="B37" s="12" t="str">
        <x:v>E8-02</x:v>
      </x:c>
      <x:c r="C37" s="12" t="str">
        <x:v>Agent教学红队</x:v>
      </x:c>
      <x:c r="D37" s="12" t="str">
        <x:v>P0</x:v>
      </x:c>
      <x:c r="E37" s="12" t="str">
        <x:v>QA+AI</x:v>
      </x:c>
      <x:c r="F37" s="12" t="str">
        <x:v>E3-05</x:v>
      </x:c>
      <x:c r="G37" s="12" t="n">
        <x:v>8</x:v>
      </x:c>
      <x:c r="H37" s="12" t="str">
        <x:v>答案泄露、越级Hint、自由改路径测试通过</x:v>
      </x:c>
      <x:c r="I37" s="12" t="str">
        <x:v>R4</x:v>
      </x:c>
      <x:c r="J37" s="12" t="str">
        <x:v>Not Started</x:v>
      </x:c>
    </x:row>
    <x:row r="38">
      <x:c r="A38" s="12" t="str">
        <x:v>E8 QA/Pilot</x:v>
      </x:c>
      <x:c r="B38" s="12" t="str">
        <x:v>E8-03</x:v>
      </x:c>
      <x:c r="C38" s="12" t="str">
        <x:v>端到端模拟儿童脚本</x:v>
      </x:c>
      <x:c r="D38" s="12" t="str">
        <x:v>P0</x:v>
      </x:c>
      <x:c r="E38" s="12" t="str">
        <x:v>QA</x:v>
      </x:c>
      <x:c r="F38" s="12" t="str">
        <x:v>E4;E5;E6</x:v>
      </x:c>
      <x:c r="G38" s="12" t="n">
        <x:v>8</x:v>
      </x:c>
      <x:c r="H38" s="12" t="str">
        <x:v>至少10种画像脚本跑完整闭环</x:v>
      </x:c>
      <x:c r="I38" s="12" t="str">
        <x:v>R4</x:v>
      </x:c>
      <x:c r="J38" s="12" t="str">
        <x:v>Not Started</x:v>
      </x:c>
    </x:row>
    <x:row r="39">
      <x:c r="A39" s="12" t="str">
        <x:v>E8 QA/Pilot</x:v>
      </x:c>
      <x:c r="B39" s="12" t="str">
        <x:v>E8-04</x:v>
      </x:c>
      <x:c r="C39" s="12" t="str">
        <x:v>性能与故障降级</x:v>
      </x:c>
      <x:c r="D39" s="12" t="str">
        <x:v>P1</x:v>
      </x:c>
      <x:c r="E39" s="12" t="str">
        <x:v>QA/DevOps</x:v>
      </x:c>
      <x:c r="F39" s="12" t="str">
        <x:v>E3;E5</x:v>
      </x:c>
      <x:c r="G39" s="12" t="n">
        <x:v>5</x:v>
      </x:c>
      <x:c r="H39" s="12" t="str">
        <x:v>DeepTutor失败时任务状态不丢；静态Hint降级有效</x:v>
      </x:c>
      <x:c r="I39" s="12" t="str">
        <x:v>R5</x:v>
      </x:c>
      <x:c r="J39" s="12" t="str">
        <x:v>Not Started</x:v>
      </x:c>
    </x:row>
    <x:row r="40">
      <x:c r="A40" s="12" t="str">
        <x:v>E8 QA/Pilot</x:v>
      </x:c>
      <x:c r="B40" s="12" t="str">
        <x:v>E8-05</x:v>
      </x:c>
      <x:c r="C40" s="12" t="str">
        <x:v>儿童数据合规验收</x:v>
      </x:c>
      <x:c r="D40" s="12" t="str">
        <x:v>P0</x:v>
      </x:c>
      <x:c r="E40" s="12" t="str">
        <x:v>QA/Privacy</x:v>
      </x:c>
      <x:c r="F40" s="12" t="str">
        <x:v>E1-03;E6-03</x:v>
      </x:c>
      <x:c r="G40" s="12" t="n">
        <x:v>5</x:v>
      </x:c>
      <x:c r="H40" s="12" t="str">
        <x:v>敏感数据采集前有效授权；删除/撤回流程可审计</x:v>
      </x:c>
      <x:c r="I40" s="12" t="str">
        <x:v>R4</x:v>
      </x:c>
      <x:c r="J40" s="12" t="str">
        <x:v>Not Started</x:v>
      </x:c>
    </x:row>
    <x:row r="41">
      <x:c r="A41" s="12" t="str">
        <x:v>E2 Learning Engine</x:v>
      </x:c>
      <x:c r="B41" s="12" t="str">
        <x:v>E2-03A</x:v>
      </x:c>
      <x:c r="C41" s="12" t="str">
        <x:v>Mastery Evidence派生映射与最小证据Gate冻结</x:v>
      </x:c>
      <x:c r="D41" s="12" t="str">
        <x:v>P0</x:v>
      </x:c>
      <x:c r="E41" s="12" t="str">
        <x:v>Backend+Education</x:v>
      </x:c>
      <x:c r="F41" s="12" t="str">
        <x:v>E2-03</x:v>
      </x:c>
      <x:c r="G41" s="12" t="n">
        <x:v>5</x:v>
      </x:c>
      <x:c r="H41" s="12" t="str">
        <x:v>DDL与实现统一evidence_type/source_evidence_ids/context_family/rule_version；C/I/S/T来源、窗口、最小证据量全部有规则回放测试。</x:v>
      </x:c>
      <x:c r="I41" s="12" t="str">
        <x:v>R2</x:v>
      </x:c>
      <x:c r="J41" s="12" t="str">
        <x:v>Not Started</x:v>
      </x:c>
    </x:row>
    <x:row r="42">
      <x:c r="A42" s="12" t="str">
        <x:v>E0 Foundation</x:v>
      </x:c>
      <x:c r="B42" s="12" t="str">
        <x:v>E0-05</x:v>
      </x:c>
      <x:c r="C42" s="12" t="str">
        <x:v>错误码规范同步：主文档附录A→OpenAPI→实现</x:v>
      </x:c>
      <x:c r="D42" s="12" t="str">
        <x:v>P0</x:v>
      </x:c>
      <x:c r="E42" s="12" t="str">
        <x:v>Backend+AI</x:v>
      </x:c>
      <x:c r="F42" s="12" t="str">
        <x:v>E0-04</x:v>
      </x:c>
      <x:c r="G42" s="12" t="n">
        <x:v>3</x:v>
      </x:c>
      <x:c r="H42" s="12" t="str">
        <x:v>唯一系统码表为LE-4001/4091/4221/4291/5001与AG-5031；E01~E07只作为HTTP 2xx教育诊断；OpenAPI与集成测试无LE-004等漂移码。</x:v>
      </x:c>
      <x:c r="I42" s="12" t="str">
        <x:v>R0</x:v>
      </x:c>
      <x:c r="J42" s="12" t="str">
        <x:v>Not Started</x:v>
      </x:c>
    </x:row>
    <x:row r="43">
      <x:c r="A43" s="12" t="str">
        <x:v>E0 Foundation</x:v>
      </x:c>
      <x:c r="B43" s="12" t="str">
        <x:v>E0-01A</x:v>
      </x:c>
      <x:c r="C43" s="12" t="str">
        <x:v>SPI Spike结论ADR与架构分支决策</x:v>
      </x:c>
      <x:c r="D43" s="12" t="str">
        <x:v>P0</x:v>
      </x:c>
      <x:c r="E43" s="12" t="str">
        <x:v>Tech Lead+AI</x:v>
      </x:c>
      <x:c r="F43" s="12" t="str">
        <x:v>E0-01</x:v>
      </x:c>
      <x:c r="G43" s="12" t="n">
        <x:v>3</x:v>
      </x:c>
      <x:c r="H43" s="12" t="str">
        <x:v>输出PASS/PARTIAL/FAIL；PASS后Core Patch=0升级为硬约束；PARTIAL优先Tool/MCP/Adapter；FAIL停止E3并重新ADR；结论进入冻结基线。</x:v>
      </x:c>
      <x:c r="I43" s="12" t="str">
        <x:v>R0-HARD</x:v>
      </x:c>
      <x:c r="J43" s="12" t="str">
        <x:v>Not Started</x:v>
      </x:c>
    </x:row>
    <x:row r="44">
      <x:c r="A44" s="12" t="str">
        <x:v>E0 Foundation</x:v>
      </x:c>
      <x:c r="B44" s="12" t="str">
        <x:v>E0-06</x:v>
      </x:c>
      <x:c r="C44" s="12" t="str">
        <x:v>learning_plan DDL/FK一致性收尾检查</x:v>
      </x:c>
      <x:c r="D44" s="12" t="str">
        <x:v>P1</x:v>
      </x:c>
      <x:c r="E44" s="12" t="str">
        <x:v>Backend/DBA</x:v>
      </x:c>
      <x:c r="F44" s="12" t="str">
        <x:v>E0-03</x:v>
      </x:c>
      <x:c r="G44" s="12" t="n">
        <x:v>2</x:v>
      </x:c>
      <x:c r="H44" s="12" t="str">
        <x:v>DDL存在learning_plan；learning_plan有(plan_id,child_id)唯一约束；learning_session(plan_id,child_id)复合FK阻止跨child引用；OpenAPI session含plan_id；迁移测试通过。</x:v>
      </x:c>
      <x:c r="I44" s="12" t="str">
        <x:v>R1-CLOSED</x:v>
      </x:c>
      <x:c r="J44" s="12" t="str">
        <x:v>Done</x:v>
      </x:c>
    </x:row>
    <x:row r="45">
      <x:c r="A45" s="12" t="str">
        <x:v>E0 Foundation</x:v>
      </x:c>
      <x:c r="B45" s="12" t="str">
        <x:v>E0-07</x:v>
      </x:c>
      <x:c r="C45" s="12" t="str">
        <x:v>历史设计文档Superseded归档清单</x:v>
      </x:c>
      <x:c r="D45" s="12" t="str">
        <x:v>P1</x:v>
      </x:c>
      <x:c r="E45" s="12" t="str">
        <x:v>Product+Tech Lead</x:v>
      </x:c>
      <x:c r="F45" s="12" t="str">
        <x:v>E0-01A</x:v>
      </x:c>
      <x:c r="G45" s="12" t="n">
        <x:v>2</x:v>
      </x:c>
      <x:c r="H45" s="12" t="str">
        <x:v>Superseded清单已发布并列示历史设计文档；V1.3冻结基线明确DDL/OpenAPI/ADR/Backlog为SSOT；旧DOCX不得作为实体命名、错误码、算法或接口实现依据。</x:v>
      </x:c>
      <x:c r="I45" s="12" t="str">
        <x:v>R1-CLOSED</x:v>
      </x:c>
      <x:c r="J45" s="12" t="str">
        <x:v>Done</x:v>
      </x:c>
    </x:row>
    <x:row r="46">
      <x:c r="A46" s="12" t="str">
        <x:v>E0 Foundation</x:v>
      </x:c>
      <x:c r="B46" s="12" t="str">
        <x:v>E0-08</x:v>
      </x:c>
      <x:c r="C46" s="12" t="str">
        <x:v>XLSX公式缓存重算与Summary一致性Gate</x:v>
      </x:c>
      <x:c r="D46" s="12" t="str">
        <x:v>P0</x:v>
      </x:c>
      <x:c r="E46" s="12" t="str">
        <x:v>DevOps+PMO</x:v>
      </x:c>
      <x:c r="F46" s="12" t="str">
        <x:v>E0-04</x:v>
      </x:c>
      <x:c r="G46" s="12" t="n">
        <x:v>2</x:v>
      </x:c>
      <x:c r="H46" s="12" t="str">
        <x:v>任何Backlog明细变更后，提交前必须用具备公式计算能力的引擎重算工作簿并刷新&lt;x:v&gt;缓存；CI/Pre-commit必须从Backlog明细独立计算Epic Story数/Story Points/P0/P1/P2，并与Summary缓存值逐项比对；缓存为空或不一致即失败。仅写公式但不执行计算的Python库保存结果不得直接作为发布件。</x:v>
      </x:c>
      <x:c r="I46" s="12" t="str">
        <x:v>R0-HARD</x:v>
      </x:c>
      <x:c r="J46" s="12" t="str">
        <x:v>Not Started</x:v>
      </x:c>
    </x:row>
  </x:sheetData>
  <x:conditionalFormatting sqref="D2:D40">
    <x:cfRule type="expression" dxfId="0" priority="1">
      <x:formula>D2="P0"</x:formula>
    </x:cfRule>
  </x:conditionalFormatting>
  <x:conditionalFormatting sqref="J2:J40">
    <x:cfRule type="expression" dxfId="1" priority="2">
      <x:formula>J2="Done"</x:formula>
    </x:cfRule>
  </x:conditionalFormatting>
  <x:dataValidations count="2">
    <x:dataValidation type="list" sqref="D2:D40">
      <x:formula1>"P0,P1,P2"</x:formula1>
    </x:dataValidation>
    <x:dataValidation type="list" sqref="J2:J40">
      <x:formula1>"Not Started,In Progress,Blocked,Done"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0" hidden="0" customWidth="1"/>
    <x:col min="5" max="5" width="10" hidden="0" customWidth="1"/>
    <x:col min="6" max="6" width="10" hidden="0" customWidth="1"/>
    <x:col min="8" max="8" width="26" hidden="0" customWidth="1"/>
    <x:col min="9" max="9" width="22" hidden="0" customWidth="1"/>
    <x:col min="10" max="10" width="58" hidden="0" customWidth="1"/>
  </x:cols>
  <x:sheetData>
    <x:row r="1">
      <x:c r="A1" s="23" t="str">
        <x:v>Epic</x:v>
      </x:c>
      <x:c r="B1" s="23" t="str">
        <x:v>Stories</x:v>
      </x:c>
      <x:c r="C1" s="23" t="str">
        <x:v>Story Points</x:v>
      </x:c>
      <x:c r="D1" s="23" t="str">
        <x:v>P0</x:v>
      </x:c>
      <x:c r="E1" s="23" t="str">
        <x:v>P1</x:v>
      </x:c>
      <x:c r="F1" s="23" t="str">
        <x:v>P2</x:v>
      </x:c>
      <x:c r="H1" s="23" t="str">
        <x:v>V1.3.1 Gate Status</x:v>
      </x:c>
      <x:c r="I1" s="23"/>
      <x:c r="J1" s="23"/>
    </x:row>
    <x:row r="2">
      <x:c r="A2" t="str">
        <x:v>E0 Foundation</x:v>
      </x:c>
      <x:c r="B2" t="n">
        <x:f>COUNTIF(Backlog!$A$2:$A$200,A2)</x:f>
        <x:v>9</x:v>
      </x:c>
      <x:c r="C2" t="n">
        <x:f>SUMIF(Backlog!$A$2:$A$200,A2,Backlog!$G$2:$G$200)</x:f>
        <x:v>28</x:v>
      </x:c>
      <x:c r="D2" t="n">
        <x:f>COUNTIFS(Backlog!$A$2:$A$200,A2,Backlog!$D$2:$D$200,"P0")</x:f>
        <x:v>7</x:v>
      </x:c>
      <x:c r="E2" t="n">
        <x:f>COUNTIFS(Backlog!$A$2:$A$200,A2,Backlog!$D$2:$D$200,"P1")</x:f>
        <x:v>2</x:v>
      </x:c>
      <x:c r="F2" t="n">
        <x:f>COUNTIFS(Backlog!$A$2:$A$200,A2,Backlog!$D$2:$D$200,"P2")</x:f>
        <x:v>0</x:v>
      </x:c>
      <x:c r="H2" s="27" t="str">
        <x:v>Gate</x:v>
      </x:c>
      <x:c r="I2" s="27" t="str">
        <x:v>Status</x:v>
      </x:c>
      <x:c r="J2" s="27" t="str">
        <x:v>Rule</x:v>
      </x:c>
    </x:row>
    <x:row r="3">
      <x:c r="A3" t="str">
        <x:v>E1 Domain Data</x:v>
      </x:c>
      <x:c r="B3" t="n">
        <x:f>COUNTIF(Backlog!$A$2:$A$200,A3)</x:f>
        <x:v>4</x:v>
      </x:c>
      <x:c r="C3" t="n">
        <x:f>SUMIF(Backlog!$A$2:$A$200,A3,Backlog!$G$2:$G$200)</x:f>
        <x:v>26</x:v>
      </x:c>
      <x:c r="D3" t="n">
        <x:f>COUNTIFS(Backlog!$A$2:$A$200,A3,Backlog!$D$2:$D$200,"P0")</x:f>
        <x:v>4</x:v>
      </x:c>
      <x:c r="E3" t="n">
        <x:f>COUNTIFS(Backlog!$A$2:$A$200,A3,Backlog!$D$2:$D$200,"P1")</x:f>
        <x:v>0</x:v>
      </x:c>
      <x:c r="F3" t="n">
        <x:f>COUNTIFS(Backlog!$A$2:$A$200,A3,Backlog!$D$2:$D$200,"P2")</x:f>
        <x:v>0</x:v>
      </x:c>
      <x:c r="H3" s="12" t="str">
        <x:v>GATE-R0-SPI</x:v>
      </x:c>
      <x:c r="I3" s="29" t="str">
        <x:v>RED / HARD / PENDING</x:v>
      </x:c>
      <x:c r="J3" s="12" t="str">
        <x:v>未结论前E3 Agent Integration禁止开工；E1/E2纯领域可并行</x:v>
      </x:c>
    </x:row>
    <x:row r="4">
      <x:c r="A4" t="str">
        <x:v>E2 Learning Engine</x:v>
      </x:c>
      <x:c r="B4" t="n">
        <x:f>COUNTIF(Backlog!$A$2:$A$200,A4)</x:f>
        <x:v>8</x:v>
      </x:c>
      <x:c r="C4" t="n">
        <x:f>SUMIF(Backlog!$A$2:$A$200,A4,Backlog!$G$2:$G$200)</x:f>
        <x:v>63</x:v>
      </x:c>
      <x:c r="D4" t="n">
        <x:f>COUNTIFS(Backlog!$A$2:$A$200,A4,Backlog!$D$2:$D$200,"P0")</x:f>
        <x:v>8</x:v>
      </x:c>
      <x:c r="E4" t="n">
        <x:f>COUNTIFS(Backlog!$A$2:$A$200,A4,Backlog!$D$2:$D$200,"P1")</x:f>
        <x:v>0</x:v>
      </x:c>
      <x:c r="F4" t="n">
        <x:f>COUNTIFS(Backlog!$A$2:$A$200,A4,Backlog!$D$2:$D$200,"P2")</x:f>
        <x:v>0</x:v>
      </x:c>
      <x:c r="H4" s="12" t="str">
        <x:v>GRAY-01 learning_plan</x:v>
      </x:c>
      <x:c r="I4" s="31" t="str">
        <x:v>CLOSED</x:v>
      </x:c>
      <x:c r="J4" s="12" t="str">
        <x:v>DDL/OpenAPI/复合FK已同步；E0-06=Done</x:v>
      </x:c>
    </x:row>
    <x:row r="5">
      <x:c r="A5" t="str">
        <x:v>E3 Agent Integration</x:v>
      </x:c>
      <x:c r="B5" t="n">
        <x:f>COUNTIF(Backlog!$A$2:$A$200,A5)</x:f>
        <x:v>6</x:v>
      </x:c>
      <x:c r="C5" t="n">
        <x:f>SUMIF(Backlog!$A$2:$A$200,A5,Backlog!$G$2:$G$200)</x:f>
        <x:v>34</x:v>
      </x:c>
      <x:c r="D5" t="n">
        <x:f>COUNTIFS(Backlog!$A$2:$A$200,A5,Backlog!$D$2:$D$200,"P0")</x:f>
        <x:v>5</x:v>
      </x:c>
      <x:c r="E5" t="n">
        <x:f>COUNTIFS(Backlog!$A$2:$A$200,A5,Backlog!$D$2:$D$200,"P1")</x:f>
        <x:v>1</x:v>
      </x:c>
      <x:c r="F5" t="n">
        <x:f>COUNTIFS(Backlog!$A$2:$A$200,A5,Backlog!$D$2:$D$200,"P2")</x:f>
        <x:v>0</x:v>
      </x:c>
      <x:c r="H5" s="12" t="str">
        <x:v>GRAY-02 历史文档</x:v>
      </x:c>
      <x:c r="I5" s="31" t="str">
        <x:v>CLOSED</x:v>
      </x:c>
      <x:c r="J5" s="12" t="str">
        <x:v>Superseded归档已发布；E0-07=Done</x:v>
      </x:c>
    </x:row>
    <x:row r="6">
      <x:c r="A6" t="str">
        <x:v>E4 Math MVP Content</x:v>
      </x:c>
      <x:c r="B6" t="n">
        <x:f>COUNTIF(Backlog!$A$2:$A$200,A6)</x:f>
        <x:v>4</x:v>
      </x:c>
      <x:c r="C6" t="n">
        <x:f>SUMIF(Backlog!$A$2:$A$200,A6,Backlog!$G$2:$G$200)</x:f>
        <x:v>36</x:v>
      </x:c>
      <x:c r="D6" t="n">
        <x:f>COUNTIFS(Backlog!$A$2:$A$200,A6,Backlog!$D$2:$D$200,"P0")</x:f>
        <x:v>4</x:v>
      </x:c>
      <x:c r="E6" t="n">
        <x:f>COUNTIFS(Backlog!$A$2:$A$200,A6,Backlog!$D$2:$D$200,"P1")</x:f>
        <x:v>0</x:v>
      </x:c>
      <x:c r="F6" t="n">
        <x:f>COUNTIFS(Backlog!$A$2:$A$200,A6,Backlog!$D$2:$D$200,"P2")</x:f>
        <x:v>0</x:v>
      </x:c>
      <x:c r="H6" s="12" t="str">
        <x:v>GATE-XLSX-CACHE</x:v>
      </x:c>
      <x:c r="I6" s="12" t="str">
        <x:v>HARD / PRE-COMMIT</x:v>
      </x:c>
      <x:c r="J6" s="12" t="str">
        <x:v>任何Backlog明细修改后必须重算并刷新公式缓存；CI独立复算A:F并与缓存值比对，失败则禁止提交/发布</x:v>
      </x:c>
    </x:row>
    <x:row r="7">
      <x:c r="A7" t="str">
        <x:v>E5 Child UI</x:v>
      </x:c>
      <x:c r="B7" t="n">
        <x:f>COUNTIF(Backlog!$A$2:$A$200,A7)</x:f>
        <x:v>3</x:v>
      </x:c>
      <x:c r="C7" t="n">
        <x:f>SUMIF(Backlog!$A$2:$A$200,A7,Backlog!$G$2:$G$200)</x:f>
        <x:v>26</x:v>
      </x:c>
      <x:c r="D7" t="n">
        <x:f>COUNTIFS(Backlog!$A$2:$A$200,A7,Backlog!$D$2:$D$200,"P0")</x:f>
        <x:v>2</x:v>
      </x:c>
      <x:c r="E7" t="n">
        <x:f>COUNTIFS(Backlog!$A$2:$A$200,A7,Backlog!$D$2:$D$200,"P1")</x:f>
        <x:v>1</x:v>
      </x:c>
      <x:c r="F7" t="n">
        <x:f>COUNTIFS(Backlog!$A$2:$A$200,A7,Backlog!$D$2:$D$200,"P2")</x:f>
        <x:v>0</x:v>
      </x:c>
    </x:row>
    <x:row r="8">
      <x:c r="A8" t="str">
        <x:v>E6 Parent UI</x:v>
      </x:c>
      <x:c r="B8" t="n">
        <x:f>COUNTIF(Backlog!$A$2:$A$200,A8)</x:f>
        <x:v>3</x:v>
      </x:c>
      <x:c r="C8" t="n">
        <x:f>SUMIF(Backlog!$A$2:$A$200,A8,Backlog!$G$2:$G$200)</x:f>
        <x:v>21</x:v>
      </x:c>
      <x:c r="D8" t="n">
        <x:f>COUNTIFS(Backlog!$A$2:$A$200,A8,Backlog!$D$2:$D$200,"P0")</x:f>
        <x:v>3</x:v>
      </x:c>
      <x:c r="E8" t="n">
        <x:f>COUNTIFS(Backlog!$A$2:$A$200,A8,Backlog!$D$2:$D$200,"P1")</x:f>
        <x:v>0</x:v>
      </x:c>
      <x:c r="F8" t="n">
        <x:f>COUNTIFS(Backlog!$A$2:$A$200,A8,Backlog!$D$2:$D$200,"P2")</x:f>
        <x:v>0</x:v>
      </x:c>
    </x:row>
    <x:row r="9">
      <x:c r="A9" t="str">
        <x:v>E7 Authoring</x:v>
      </x:c>
      <x:c r="B9" t="n">
        <x:f>COUNTIF(Backlog!$A$2:$A$200,A9)</x:f>
        <x:v>3</x:v>
      </x:c>
      <x:c r="C9" t="n">
        <x:f>SUMIF(Backlog!$A$2:$A$200,A9,Backlog!$G$2:$G$200)</x:f>
        <x:v>29</x:v>
      </x:c>
      <x:c r="D9" t="n">
        <x:f>COUNTIFS(Backlog!$A$2:$A$200,A9,Backlog!$D$2:$D$200,"P0")</x:f>
        <x:v>0</x:v>
      </x:c>
      <x:c r="E9" t="n">
        <x:f>COUNTIFS(Backlog!$A$2:$A$200,A9,Backlog!$D$2:$D$200,"P1")</x:f>
        <x:v>3</x:v>
      </x:c>
      <x:c r="F9" t="n">
        <x:f>COUNTIFS(Backlog!$A$2:$A$200,A9,Backlog!$D$2:$D$200,"P2")</x:f>
        <x:v>0</x:v>
      </x:c>
    </x:row>
    <x:row r="10">
      <x:c r="A10" t="str">
        <x:v>E8 QA/Pilot</x:v>
      </x:c>
      <x:c r="B10" t="n">
        <x:f>COUNTIF(Backlog!$A$2:$A$200,A10)</x:f>
        <x:v>5</x:v>
      </x:c>
      <x:c r="C10" t="n">
        <x:f>SUMIF(Backlog!$A$2:$A$200,A10,Backlog!$G$2:$G$200)</x:f>
        <x:v>34</x:v>
      </x:c>
      <x:c r="D10" t="n">
        <x:f>COUNTIFS(Backlog!$A$2:$A$200,A10,Backlog!$D$2:$D$200,"P0")</x:f>
        <x:v>4</x:v>
      </x:c>
      <x:c r="E10" t="n">
        <x:f>COUNTIFS(Backlog!$A$2:$A$200,A10,Backlog!$D$2:$D$200,"P1")</x:f>
        <x:v>1</x:v>
      </x:c>
      <x:c r="F10" t="n">
        <x:f>COUNTIFS(Backlog!$A$2:$A$200,A10,Backlog!$D$2:$D$200,"P2")</x:f>
        <x:v>0</x:v>
      </x:c>
    </x:row>
    <x:row r="12">
      <x:c r="A12" s="12" t="str">
        <x:v>Rule</x:v>
      </x:c>
      <x:c r="B12" s="12" t="str">
        <x:v>Summary A:F由Backlog公式驱动；任何明细修改后必须重算工作簿并刷新公式缓存(&lt;x:v&gt;)后再提交。CI/Pre-commit须独立复算并核对缓存值；仅修改公式或明细但未重算的XLSX不得发布。</x:v>
      </x:c>
      <x:c r="C12" s="12"/>
      <x:c r="D12" s="12"/>
      <x:c r="E12" s="12"/>
      <x:c r="F12" s="12"/>
    </x:row>
    <x:row r="13">
      <x:c r="A13" s="12" t="str">
        <x:v>Version</x:v>
      </x:c>
      <x:c r="B13" s="12" t="str">
        <x:v>V1.3</x:v>
      </x:c>
      <x:c r="C13" s="12"/>
      <x:c r="D13" s="12"/>
      <x:c r="E13" s="12"/>
      <x:c r="F13" s="12"/>
    </x:row>
  </x:sheetData>
  <x:mergeCells>
    <x:mergeCell ref="H1:J1"/>
    <x:mergeCell ref="B12:F12"/>
    <x:mergeCell ref="B13:F13"/>
  </x:mergeCells>
  <x:pageMargins left="0.7" right="0.7" top="0.75" bottom="0.75" header="0.3" footer="0.3"/>
</x:worksheet>
</file>